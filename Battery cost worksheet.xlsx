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 Brecha\Documents\PyPSA\"/>
    </mc:Choice>
  </mc:AlternateContent>
  <xr:revisionPtr revIDLastSave="0" documentId="13_ncr:1_{FB930E90-2175-4DF8-8DC1-15EC5A80057B}" xr6:coauthVersionLast="47" xr6:coauthVersionMax="47" xr10:uidLastSave="{00000000-0000-0000-0000-000000000000}"/>
  <bookViews>
    <workbookView xWindow="10" yWindow="10" windowWidth="19190" windowHeight="10790" xr2:uid="{18837C55-A190-43E2-A705-02FA11F10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J19" i="1" s="1"/>
  <c r="P19" i="1" s="1"/>
  <c r="F19" i="1"/>
  <c r="B19" i="1"/>
  <c r="R19" i="1" s="1"/>
  <c r="H18" i="1"/>
  <c r="J18" i="1" s="1"/>
  <c r="P18" i="1" s="1"/>
  <c r="F18" i="1"/>
  <c r="B18" i="1"/>
  <c r="R18" i="1" s="1"/>
  <c r="H17" i="1"/>
  <c r="J17" i="1" s="1"/>
  <c r="P17" i="1" s="1"/>
  <c r="F17" i="1"/>
  <c r="B17" i="1"/>
  <c r="R17" i="1" s="1"/>
  <c r="H16" i="1"/>
  <c r="J16" i="1" s="1"/>
  <c r="P16" i="1" s="1"/>
  <c r="F16" i="1"/>
  <c r="B16" i="1"/>
  <c r="R16" i="1" s="1"/>
  <c r="R15" i="1"/>
  <c r="H15" i="1"/>
  <c r="J15" i="1" s="1"/>
  <c r="P15" i="1" s="1"/>
  <c r="F15" i="1"/>
  <c r="B15" i="1"/>
  <c r="R14" i="1"/>
  <c r="H14" i="1"/>
  <c r="J14" i="1" s="1"/>
  <c r="P14" i="1" s="1"/>
  <c r="F14" i="1"/>
  <c r="B14" i="1"/>
  <c r="J13" i="1"/>
  <c r="P13" i="1" s="1"/>
  <c r="H13" i="1"/>
  <c r="F13" i="1"/>
  <c r="B13" i="1"/>
  <c r="R13" i="1" s="1"/>
  <c r="H12" i="1"/>
  <c r="J12" i="1" s="1"/>
  <c r="P12" i="1" s="1"/>
  <c r="F12" i="1"/>
  <c r="B12" i="1"/>
  <c r="R12" i="1" s="1"/>
  <c r="J11" i="1"/>
  <c r="P11" i="1" s="1"/>
  <c r="H11" i="1"/>
  <c r="F11" i="1"/>
  <c r="B11" i="1"/>
  <c r="R11" i="1" s="1"/>
  <c r="H10" i="1"/>
  <c r="J10" i="1" s="1"/>
  <c r="P10" i="1" s="1"/>
  <c r="F10" i="1"/>
  <c r="B10" i="1"/>
  <c r="R10" i="1" s="1"/>
  <c r="H8" i="1"/>
  <c r="P8" i="1" s="1"/>
  <c r="F8" i="1"/>
  <c r="H7" i="1"/>
  <c r="P7" i="1" s="1"/>
  <c r="F7" i="1"/>
  <c r="H6" i="1"/>
  <c r="P6" i="1" s="1"/>
  <c r="F6" i="1"/>
  <c r="N2" i="1"/>
  <c r="N21" i="1" s="1"/>
  <c r="J7" i="1" l="1"/>
  <c r="R7" i="1" s="1"/>
  <c r="J8" i="1"/>
  <c r="R8" i="1" s="1"/>
  <c r="J6" i="1"/>
  <c r="R6" i="1" s="1"/>
  <c r="N22" i="1"/>
  <c r="N10" i="1"/>
  <c r="N11" i="1"/>
  <c r="N12" i="1"/>
  <c r="N13" i="1"/>
  <c r="N14" i="1"/>
  <c r="N15" i="1"/>
  <c r="N16" i="1"/>
  <c r="N17" i="1"/>
  <c r="N18" i="1"/>
  <c r="Q17" i="1"/>
  <c r="N19" i="1"/>
  <c r="Q19" i="1"/>
  <c r="Q18" i="1"/>
  <c r="Q10" i="1"/>
  <c r="Q11" i="1"/>
  <c r="Q12" i="1"/>
  <c r="Q13" i="1"/>
  <c r="Q14" i="1"/>
  <c r="Q15" i="1"/>
  <c r="Q16" i="1"/>
  <c r="N7" i="1" l="1"/>
  <c r="N8" i="1"/>
  <c r="N6" i="1"/>
</calcChain>
</file>

<file path=xl/sharedStrings.xml><?xml version="1.0" encoding="utf-8"?>
<sst xmlns="http://schemas.openxmlformats.org/spreadsheetml/2006/main" count="19" uniqueCount="18">
  <si>
    <t>Lazards current estimates</t>
  </si>
  <si>
    <t>MW</t>
  </si>
  <si>
    <t>MWh</t>
  </si>
  <si>
    <t>low</t>
  </si>
  <si>
    <t>high</t>
  </si>
  <si>
    <t>hours</t>
  </si>
  <si>
    <t>median</t>
  </si>
  <si>
    <t>million USD</t>
  </si>
  <si>
    <t>Assumed</t>
  </si>
  <si>
    <t>$/MW (2020)</t>
  </si>
  <si>
    <t>decrease by 2035</t>
  </si>
  <si>
    <t>$/MW (2035)</t>
  </si>
  <si>
    <t>cost per MWh</t>
  </si>
  <si>
    <t>i=</t>
  </si>
  <si>
    <t>N=</t>
  </si>
  <si>
    <t>CRF=</t>
  </si>
  <si>
    <t>Annuitized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</si>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</sst>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9" fontId="0" fillId="0" borderId="0" xfId="0" applyNumberFormat="1"/>
    <xf numFmtId="0" fontId="0" fillId="0" borderId="0" xfId="0" quotePrefix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36128387328694"/>
          <c:y val="0.16455668557262143"/>
          <c:w val="0.8397143884218975"/>
          <c:h val="0.5816209659227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forward val="6"/>
            <c:dispRSqr val="0"/>
            <c:dispEq val="0"/>
          </c:trendline>
          <c:xVal>
            <c:numRef>
              <c:f>Sheet1!$C$6:$C$8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Sheet1!$D$6:$D$8</c:f>
              <c:numCache>
                <c:formatCode>General</c:formatCode>
                <c:ptCount val="3"/>
                <c:pt idx="0">
                  <c:v>25</c:v>
                </c:pt>
                <c:pt idx="1">
                  <c:v>38</c:v>
                </c:pt>
                <c:pt idx="2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1-4C43-AF35-E1B9630C58AE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forward val="6"/>
            <c:dispRSqr val="0"/>
            <c:dispEq val="0"/>
          </c:trendline>
          <c:xVal>
            <c:numRef>
              <c:f>Sheet1!$C$6:$C$8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44</c:v>
                </c:pt>
                <c:pt idx="1">
                  <c:v>80</c:v>
                </c:pt>
                <c:pt idx="2">
                  <c:v>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71-4C43-AF35-E1B9630C58A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forward val="8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Sheet1!$C$6:$C$8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Sheet1!$F$6:$F$8</c:f>
              <c:numCache>
                <c:formatCode>General</c:formatCode>
                <c:ptCount val="3"/>
                <c:pt idx="0">
                  <c:v>34.5</c:v>
                </c:pt>
                <c:pt idx="1">
                  <c:v>59</c:v>
                </c:pt>
                <c:pt idx="2">
                  <c:v>116.5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71-4C43-AF35-E1B9630C5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763119"/>
        <c:axId val="1388763535"/>
      </c:scatterChart>
      <c:valAx>
        <c:axId val="138876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of storage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3535"/>
        <c:crosses val="autoZero"/>
        <c:crossBetween val="midCat"/>
      </c:valAx>
      <c:valAx>
        <c:axId val="138876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[million USD]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3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398779</xdr:colOff>
      <xdr:row>20</xdr:row>
      <xdr:rowOff>43181</xdr:rowOff>
    </xdr:from>
    <xdr:to>
      <xdr:col>9</xdr:col>
      <xdr:colOff>202565</xdr:colOff>
      <xdr:row>38</xdr:row>
      <xdr:rowOff>109855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050B7-F10C-461E-94BE-0105C8A3E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25400</xdr:colOff>
      <xdr:row>0</xdr:row>
      <xdr:rowOff>101600</xdr:rowOff>
    </xdr:from>
    <xdr:to>
      <xdr:col>18</xdr:col>
      <xdr:colOff>568325</xdr:colOff>
      <xdr:row>3</xdr:row>
      <xdr:rowOff>101600</xdr:rowOff>
    </xdr:to>
    <xdr:pic>
      <xdr:nvPicPr>
        <xdr:cNvPr id="3" name="Picture 2" descr="equations_crf">
          <a:extLst>
            <a:ext uri="{FF2B5EF4-FFF2-40B4-BE49-F238E27FC236}">
              <a16:creationId xmlns:a16="http://schemas.microsoft.com/office/drawing/2014/main" id="{7C9CB0B2-F798-1A0A-A292-EF2BC9B00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3525" y="101600"/>
          <a:ext cx="17621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FFC5-2C0E-409C-BF4B-A5B88B96E323}">
  <dimension ref="B1:R23"/>
  <sheetViews>
    <sheetView tabSelected="1" workbookViewId="0">
      <selection activeCell="C4" sqref="C4"/>
    </sheetView>
  </sheetViews>
  <sheetFormatPr defaultRowHeight="14.75" x14ac:dyDescent="0.75"/>
  <cols>
    <col min="5" max="5" width="9.6796875" customWidth="1"/>
    <col min="8" max="8" width="12.86328125" customWidth="1"/>
    <col min="10" max="10" width="12.86328125" customWidth="1"/>
  </cols>
  <sheetData>
    <row r="1" spans="2:18" x14ac:dyDescent="0.75">
      <c r="O1" t="s">
        <v>13</v>
      </c>
      <c r="P1">
        <v>7.0000000000000007E-2</v>
      </c>
    </row>
    <row r="2" spans="2:18" x14ac:dyDescent="0.75">
      <c r="B2" t="s">
        <v>0</v>
      </c>
      <c r="J2" t="s">
        <v>8</v>
      </c>
      <c r="K2" s="2">
        <v>0.5</v>
      </c>
      <c r="M2" t="s">
        <v>15</v>
      </c>
      <c r="N2">
        <f>$P$1/(1-(1-$P$1)^$P$2)</f>
        <v>0.10553307850891099</v>
      </c>
      <c r="O2" t="s">
        <v>14</v>
      </c>
      <c r="P2">
        <v>15</v>
      </c>
    </row>
    <row r="3" spans="2:18" x14ac:dyDescent="0.75">
      <c r="J3" t="s">
        <v>10</v>
      </c>
    </row>
    <row r="4" spans="2:18" x14ac:dyDescent="0.75">
      <c r="B4">
        <v>100</v>
      </c>
      <c r="C4" t="s">
        <v>1</v>
      </c>
      <c r="E4" t="s">
        <v>7</v>
      </c>
      <c r="N4" s="4" t="s">
        <v>16</v>
      </c>
    </row>
    <row r="5" spans="2:18" x14ac:dyDescent="0.75">
      <c r="B5" t="s">
        <v>2</v>
      </c>
      <c r="C5" t="s">
        <v>5</v>
      </c>
      <c r="D5" t="s">
        <v>3</v>
      </c>
      <c r="E5" t="s">
        <v>4</v>
      </c>
      <c r="F5" t="s">
        <v>6</v>
      </c>
      <c r="H5" s="3" t="s">
        <v>9</v>
      </c>
      <c r="J5" s="3" t="s">
        <v>11</v>
      </c>
      <c r="N5" s="4" t="s">
        <v>17</v>
      </c>
    </row>
    <row r="6" spans="2:18" x14ac:dyDescent="0.75">
      <c r="B6">
        <v>100</v>
      </c>
      <c r="C6">
        <v>1</v>
      </c>
      <c r="D6">
        <v>25</v>
      </c>
      <c r="E6">
        <v>44</v>
      </c>
      <c r="F6">
        <f>AVERAGE(D6:E6)</f>
        <v>34.5</v>
      </c>
      <c r="H6" s="1">
        <f>F6/$B$4*1000000</f>
        <v>345000</v>
      </c>
      <c r="J6" s="1">
        <f>H6*(1-$K$2)</f>
        <v>172500</v>
      </c>
      <c r="L6" s="1"/>
      <c r="M6" s="1"/>
      <c r="N6" s="5">
        <f>J6*$N$2</f>
        <v>18204.456042787144</v>
      </c>
      <c r="P6">
        <f>H6/C6</f>
        <v>345000</v>
      </c>
      <c r="R6">
        <f>J6/C6</f>
        <v>172500</v>
      </c>
    </row>
    <row r="7" spans="2:18" x14ac:dyDescent="0.75">
      <c r="B7">
        <v>200</v>
      </c>
      <c r="C7">
        <v>2</v>
      </c>
      <c r="D7">
        <v>38</v>
      </c>
      <c r="E7">
        <v>80</v>
      </c>
      <c r="F7">
        <f>AVERAGE(D7:E7)</f>
        <v>59</v>
      </c>
      <c r="H7" s="1">
        <f t="shared" ref="H7:H19" si="0">F7/$B$4*1000000</f>
        <v>590000</v>
      </c>
      <c r="J7" s="1">
        <f t="shared" ref="J7:J19" si="1">H7*(1-$K$2)</f>
        <v>295000</v>
      </c>
      <c r="L7" s="1"/>
      <c r="M7" s="1"/>
      <c r="N7" s="5">
        <f>J7*$N$2</f>
        <v>31132.258160128742</v>
      </c>
      <c r="P7">
        <f>H7/C7</f>
        <v>295000</v>
      </c>
      <c r="R7">
        <f>J7/C7</f>
        <v>147500</v>
      </c>
    </row>
    <row r="8" spans="2:18" x14ac:dyDescent="0.75">
      <c r="B8">
        <v>400</v>
      </c>
      <c r="C8">
        <v>4</v>
      </c>
      <c r="D8">
        <v>76</v>
      </c>
      <c r="E8">
        <v>157</v>
      </c>
      <c r="F8">
        <f>AVERAGE(D8:E8)</f>
        <v>116.5</v>
      </c>
      <c r="H8" s="1">
        <f t="shared" si="0"/>
        <v>1165000</v>
      </c>
      <c r="J8" s="1">
        <f t="shared" si="1"/>
        <v>582500</v>
      </c>
      <c r="L8" s="1"/>
      <c r="M8" s="1"/>
      <c r="N8" s="5">
        <f>J8*$N$2</f>
        <v>61473.018231440648</v>
      </c>
      <c r="P8">
        <f>H8/C8</f>
        <v>291250</v>
      </c>
      <c r="R8" s="1">
        <f>J8/C8</f>
        <v>145625</v>
      </c>
    </row>
    <row r="9" spans="2:18" x14ac:dyDescent="0.75">
      <c r="H9" s="1"/>
      <c r="J9" s="1"/>
      <c r="L9" s="1"/>
      <c r="M9" s="1"/>
      <c r="N9" s="5"/>
      <c r="P9" t="s">
        <v>12</v>
      </c>
      <c r="R9" t="s">
        <v>12</v>
      </c>
    </row>
    <row r="10" spans="2:18" x14ac:dyDescent="0.75">
      <c r="B10">
        <f t="shared" ref="B10:B19" si="2">$B$4*C10</f>
        <v>600</v>
      </c>
      <c r="C10">
        <v>6</v>
      </c>
      <c r="F10" s="1">
        <f>C10*27.536+5.75</f>
        <v>170.96600000000001</v>
      </c>
      <c r="H10" s="1">
        <f t="shared" si="0"/>
        <v>1709660.0000000002</v>
      </c>
      <c r="J10" s="1">
        <f t="shared" si="1"/>
        <v>854830.00000000012</v>
      </c>
      <c r="L10" s="1"/>
      <c r="M10" s="1"/>
      <c r="N10" s="5">
        <f>J10*$N$2</f>
        <v>90212.841501772389</v>
      </c>
      <c r="P10" s="1">
        <f>J10/C10</f>
        <v>142471.66666666669</v>
      </c>
      <c r="Q10" s="1">
        <f>P10*$N$2</f>
        <v>15035.473583628731</v>
      </c>
      <c r="R10" s="1">
        <f>F10/B10*1000000*(1-$K$2)</f>
        <v>142471.66666666666</v>
      </c>
    </row>
    <row r="11" spans="2:18" x14ac:dyDescent="0.75">
      <c r="B11">
        <f t="shared" si="2"/>
        <v>800</v>
      </c>
      <c r="C11">
        <v>8</v>
      </c>
      <c r="F11" s="1">
        <f t="shared" ref="F11:F19" si="3">C11*27.536+5.75</f>
        <v>226.03800000000001</v>
      </c>
      <c r="H11" s="1">
        <f t="shared" si="0"/>
        <v>2260380</v>
      </c>
      <c r="J11" s="1">
        <f t="shared" si="1"/>
        <v>1130190</v>
      </c>
      <c r="L11" s="1"/>
      <c r="M11" s="1"/>
      <c r="N11" s="5">
        <f t="shared" ref="N11:N22" si="4">J11*$N$2</f>
        <v>119272.42999998611</v>
      </c>
      <c r="P11" s="1">
        <f t="shared" ref="P11:P19" si="5">J11/C11</f>
        <v>141273.75</v>
      </c>
      <c r="Q11" s="1">
        <f t="shared" ref="Q11:Q19" si="6">P11*$N$2</f>
        <v>14909.053749998264</v>
      </c>
      <c r="R11" s="1">
        <f t="shared" ref="R11:R19" si="7">F11/B11*1000000*(1-$K$2)</f>
        <v>141273.75</v>
      </c>
    </row>
    <row r="12" spans="2:18" x14ac:dyDescent="0.75">
      <c r="B12">
        <f t="shared" si="2"/>
        <v>1000</v>
      </c>
      <c r="C12">
        <v>10</v>
      </c>
      <c r="F12" s="1">
        <f t="shared" si="3"/>
        <v>281.11</v>
      </c>
      <c r="H12" s="1">
        <f t="shared" si="0"/>
        <v>2811100</v>
      </c>
      <c r="J12" s="1">
        <f t="shared" si="1"/>
        <v>1405550</v>
      </c>
      <c r="L12" s="1"/>
      <c r="M12" s="1"/>
      <c r="N12" s="5">
        <f t="shared" si="4"/>
        <v>148332.01849819985</v>
      </c>
      <c r="P12" s="1">
        <f t="shared" si="5"/>
        <v>140555</v>
      </c>
      <c r="Q12" s="1">
        <f t="shared" si="6"/>
        <v>14833.201849819983</v>
      </c>
      <c r="R12" s="1">
        <f t="shared" si="7"/>
        <v>140555</v>
      </c>
    </row>
    <row r="13" spans="2:18" x14ac:dyDescent="0.75">
      <c r="B13">
        <f t="shared" si="2"/>
        <v>1200</v>
      </c>
      <c r="C13">
        <v>12</v>
      </c>
      <c r="F13" s="1">
        <f t="shared" si="3"/>
        <v>336.18200000000002</v>
      </c>
      <c r="H13" s="1">
        <f t="shared" si="0"/>
        <v>3361820.0000000005</v>
      </c>
      <c r="J13" s="1">
        <f t="shared" si="1"/>
        <v>1680910.0000000002</v>
      </c>
      <c r="L13" s="1"/>
      <c r="M13" s="1"/>
      <c r="N13" s="5">
        <f t="shared" si="4"/>
        <v>177391.60699641358</v>
      </c>
      <c r="P13" s="1">
        <f t="shared" si="5"/>
        <v>140075.83333333334</v>
      </c>
      <c r="Q13" s="1">
        <f t="shared" si="6"/>
        <v>14782.633916367799</v>
      </c>
      <c r="R13" s="1">
        <f t="shared" si="7"/>
        <v>140075.83333333334</v>
      </c>
    </row>
    <row r="14" spans="2:18" x14ac:dyDescent="0.75">
      <c r="B14">
        <f t="shared" si="2"/>
        <v>2400</v>
      </c>
      <c r="C14">
        <v>24</v>
      </c>
      <c r="F14" s="1">
        <f t="shared" si="3"/>
        <v>666.61400000000003</v>
      </c>
      <c r="H14" s="1">
        <f t="shared" si="0"/>
        <v>6666140</v>
      </c>
      <c r="J14" s="1">
        <f t="shared" si="1"/>
        <v>3333070</v>
      </c>
      <c r="L14" s="1"/>
      <c r="M14" s="1"/>
      <c r="N14" s="5">
        <f t="shared" si="4"/>
        <v>351749.13798569591</v>
      </c>
      <c r="P14" s="1">
        <f t="shared" si="5"/>
        <v>138877.91666666666</v>
      </c>
      <c r="Q14" s="1">
        <f t="shared" si="6"/>
        <v>14656.21408273733</v>
      </c>
      <c r="R14" s="1">
        <f t="shared" si="7"/>
        <v>138877.91666666669</v>
      </c>
    </row>
    <row r="15" spans="2:18" x14ac:dyDescent="0.75">
      <c r="B15">
        <f t="shared" si="2"/>
        <v>3600</v>
      </c>
      <c r="C15">
        <v>36</v>
      </c>
      <c r="F15" s="1">
        <f t="shared" si="3"/>
        <v>997.04600000000005</v>
      </c>
      <c r="H15" s="1">
        <f t="shared" si="0"/>
        <v>9970460.0000000019</v>
      </c>
      <c r="J15" s="1">
        <f t="shared" si="1"/>
        <v>4985230.0000000009</v>
      </c>
      <c r="L15" s="1"/>
      <c r="M15" s="1"/>
      <c r="N15" s="5">
        <f t="shared" si="4"/>
        <v>526106.66897497838</v>
      </c>
      <c r="P15" s="1">
        <f t="shared" si="5"/>
        <v>138478.61111111112</v>
      </c>
      <c r="Q15" s="1">
        <f t="shared" si="6"/>
        <v>14614.074138193844</v>
      </c>
      <c r="R15" s="1">
        <f t="shared" si="7"/>
        <v>138478.61111111112</v>
      </c>
    </row>
    <row r="16" spans="2:18" x14ac:dyDescent="0.75">
      <c r="B16">
        <f t="shared" si="2"/>
        <v>4800</v>
      </c>
      <c r="C16">
        <v>48</v>
      </c>
      <c r="F16" s="1">
        <f t="shared" si="3"/>
        <v>1327.4780000000001</v>
      </c>
      <c r="H16" s="1">
        <f t="shared" si="0"/>
        <v>13274780</v>
      </c>
      <c r="J16" s="1">
        <f t="shared" si="1"/>
        <v>6637390</v>
      </c>
      <c r="L16" s="1"/>
      <c r="M16" s="1"/>
      <c r="N16" s="5">
        <f t="shared" si="4"/>
        <v>700464.19996426068</v>
      </c>
      <c r="P16" s="1">
        <f t="shared" si="5"/>
        <v>138278.95833333334</v>
      </c>
      <c r="Q16" s="1">
        <f t="shared" si="6"/>
        <v>14593.004165922099</v>
      </c>
      <c r="R16" s="1">
        <f t="shared" si="7"/>
        <v>138278.95833333334</v>
      </c>
    </row>
    <row r="17" spans="2:18" x14ac:dyDescent="0.75">
      <c r="B17">
        <f t="shared" si="2"/>
        <v>7200</v>
      </c>
      <c r="C17">
        <v>72</v>
      </c>
      <c r="F17" s="1">
        <f t="shared" si="3"/>
        <v>1988.3420000000001</v>
      </c>
      <c r="H17" s="1">
        <f t="shared" si="0"/>
        <v>19883420</v>
      </c>
      <c r="J17" s="1">
        <f t="shared" si="1"/>
        <v>9941710</v>
      </c>
      <c r="L17" s="1"/>
      <c r="M17" s="1"/>
      <c r="N17" s="5">
        <f t="shared" si="4"/>
        <v>1049179.2619428255</v>
      </c>
      <c r="P17" s="1">
        <f t="shared" si="5"/>
        <v>138079.30555555556</v>
      </c>
      <c r="Q17" s="1">
        <f t="shared" si="6"/>
        <v>14571.934193650353</v>
      </c>
      <c r="R17" s="1">
        <f t="shared" si="7"/>
        <v>138079.30555555556</v>
      </c>
    </row>
    <row r="18" spans="2:18" x14ac:dyDescent="0.75">
      <c r="B18">
        <f t="shared" si="2"/>
        <v>9600</v>
      </c>
      <c r="C18">
        <v>96</v>
      </c>
      <c r="F18" s="1">
        <f t="shared" si="3"/>
        <v>2649.2060000000001</v>
      </c>
      <c r="H18" s="1">
        <f t="shared" si="0"/>
        <v>26492060.000000004</v>
      </c>
      <c r="J18" s="1">
        <f t="shared" si="1"/>
        <v>13246030.000000002</v>
      </c>
      <c r="L18" s="1"/>
      <c r="M18" s="1"/>
      <c r="N18" s="5">
        <f t="shared" si="4"/>
        <v>1397894.3239213903</v>
      </c>
      <c r="P18" s="1">
        <f t="shared" si="5"/>
        <v>137979.47916666669</v>
      </c>
      <c r="Q18" s="1">
        <f t="shared" si="6"/>
        <v>14561.399207514483</v>
      </c>
      <c r="R18" s="1">
        <f t="shared" si="7"/>
        <v>137979.47916666666</v>
      </c>
    </row>
    <row r="19" spans="2:18" x14ac:dyDescent="0.75">
      <c r="B19">
        <f t="shared" si="2"/>
        <v>19200</v>
      </c>
      <c r="C19">
        <v>192</v>
      </c>
      <c r="F19" s="1">
        <f t="shared" si="3"/>
        <v>5292.6620000000003</v>
      </c>
      <c r="H19" s="1">
        <f t="shared" si="0"/>
        <v>52926620</v>
      </c>
      <c r="J19" s="1">
        <f t="shared" si="1"/>
        <v>26463310</v>
      </c>
      <c r="L19" s="1"/>
      <c r="M19" s="1"/>
      <c r="N19" s="5">
        <f t="shared" si="4"/>
        <v>2792754.5718356492</v>
      </c>
      <c r="P19" s="1">
        <f t="shared" si="5"/>
        <v>137829.73958333334</v>
      </c>
      <c r="Q19" s="1">
        <f t="shared" si="6"/>
        <v>14545.596728310673</v>
      </c>
      <c r="R19" s="1">
        <f t="shared" si="7"/>
        <v>137829.73958333334</v>
      </c>
    </row>
    <row r="21" spans="2:18" x14ac:dyDescent="0.75">
      <c r="J21">
        <v>90000</v>
      </c>
      <c r="N21" s="5">
        <f t="shared" si="4"/>
        <v>9497.9770658019879</v>
      </c>
    </row>
    <row r="22" spans="2:18" x14ac:dyDescent="0.75">
      <c r="J22">
        <v>1800000</v>
      </c>
      <c r="N22" s="5">
        <f t="shared" si="4"/>
        <v>189959.54131603977</v>
      </c>
    </row>
    <row r="23" spans="2:18" x14ac:dyDescent="0.75">
      <c r="N2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Dayton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Brecha</dc:creator>
  <cp:lastModifiedBy>Robert Brecha</cp:lastModifiedBy>
  <dcterms:created xsi:type="dcterms:W3CDTF">2022-11-17T13:39:22Z</dcterms:created>
  <dcterms:modified xsi:type="dcterms:W3CDTF">2025-12-18T14:26:02Z</dcterms:modified>
</cp:coreProperties>
</file>