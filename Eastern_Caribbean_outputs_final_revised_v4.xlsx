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 Brecha\Documents\Papers\Eastern Caribbean 100pct RE with links and storage\"/>
    </mc:Choice>
  </mc:AlternateContent>
  <xr:revisionPtr revIDLastSave="0" documentId="13_ncr:1_{45E02120-52B6-44D4-B2C6-7B7E5DBE92E2}" xr6:coauthVersionLast="47" xr6:coauthVersionMax="47" xr10:uidLastSave="{00000000-0000-0000-0000-000000000000}"/>
  <bookViews>
    <workbookView xWindow="10" yWindow="10" windowWidth="19185" windowHeight="10790" tabRatio="789" firstSheet="7" activeTab="9" xr2:uid="{04A80CFF-5920-4816-840A-4B0BB927C562}"/>
  </bookViews>
  <sheets>
    <sheet name="Max capacities" sheetId="14" r:id="rId1"/>
    <sheet name="0. Current system" sheetId="11" r:id="rId2"/>
    <sheet name="1. Diesel, no storage" sheetId="5" r:id="rId3"/>
    <sheet name="1. LCOE summaries" sheetId="13" r:id="rId4"/>
    <sheet name="2. Diesel-battery-storage" sheetId="10" r:id="rId5"/>
    <sheet name="2. LCOE summaries" sheetId="15" r:id="rId6"/>
    <sheet name="2'. Storage - some with diesel" sheetId="3" r:id="rId7"/>
    <sheet name="3. Battery and H2, no diesel" sheetId="4" r:id="rId8"/>
    <sheet name="3.Battery + H2 summary of costs" sheetId="12" r:id="rId9"/>
    <sheet name="4. Battery + Links, no diesel" sheetId="6" r:id="rId10"/>
    <sheet name="4'. FewLinks, Battery" sheetId="8" r:id="rId11"/>
    <sheet name="Scenarios LCOE Summary" sheetId="16" r:id="rId12"/>
  </sheets>
  <definedNames>
    <definedName name="_xlchart.v1.0" hidden="1">'0. Current system'!$G$5:$G$14</definedName>
    <definedName name="_xlchart.v1.1" hidden="1">'Scenarios LCOE Summary'!$E$20:$E$36</definedName>
    <definedName name="_xlchart.v1.2" hidden="1">'Scenarios LCOE Summary'!$E$2:$E$13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41" i="3" l="1"/>
  <c r="BK40" i="3"/>
  <c r="BK39" i="3"/>
  <c r="BK38" i="3"/>
  <c r="BK37" i="3"/>
  <c r="BK36" i="3"/>
  <c r="BK35" i="3"/>
  <c r="BK34" i="3"/>
  <c r="BK33" i="3"/>
  <c r="BK32" i="3"/>
  <c r="AQ41" i="3"/>
  <c r="AQ40" i="3"/>
  <c r="AQ39" i="3"/>
  <c r="AQ38" i="3"/>
  <c r="AQ37" i="3"/>
  <c r="AQ36" i="3"/>
  <c r="AQ35" i="3"/>
  <c r="AQ34" i="3"/>
  <c r="AQ33" i="3"/>
  <c r="AQ32" i="3"/>
  <c r="AB41" i="3"/>
  <c r="AB40" i="3"/>
  <c r="AB39" i="3"/>
  <c r="AB38" i="3"/>
  <c r="AB37" i="3"/>
  <c r="AB36" i="3"/>
  <c r="AB35" i="3"/>
  <c r="AB34" i="3"/>
  <c r="AB33" i="3"/>
  <c r="AB32" i="3"/>
  <c r="M33" i="3"/>
  <c r="M34" i="3"/>
  <c r="M35" i="3"/>
  <c r="M36" i="3"/>
  <c r="M37" i="3"/>
  <c r="M38" i="3"/>
  <c r="M39" i="3"/>
  <c r="M40" i="3"/>
  <c r="M41" i="3"/>
  <c r="M32" i="3"/>
  <c r="CI14" i="4"/>
  <c r="CI13" i="4"/>
  <c r="CI12" i="4"/>
  <c r="CI11" i="4"/>
  <c r="CI10" i="4"/>
  <c r="CI9" i="4"/>
  <c r="CI8" i="4"/>
  <c r="CI7" i="4"/>
  <c r="CI6" i="4"/>
  <c r="CI5" i="4"/>
  <c r="CI3" i="4"/>
  <c r="CH14" i="4"/>
  <c r="CH13" i="4"/>
  <c r="CH12" i="4"/>
  <c r="CH11" i="4"/>
  <c r="CH10" i="4"/>
  <c r="CH9" i="4"/>
  <c r="CH8" i="4"/>
  <c r="CH7" i="4"/>
  <c r="CH3" i="4"/>
  <c r="BK7" i="8"/>
  <c r="BK8" i="8"/>
  <c r="BK9" i="8"/>
  <c r="BK10" i="8"/>
  <c r="BK11" i="8"/>
  <c r="BK12" i="8"/>
  <c r="BK13" i="8"/>
  <c r="BK14" i="8"/>
  <c r="BK15" i="8"/>
  <c r="BK16" i="8"/>
  <c r="BK6" i="8"/>
  <c r="AZ55" i="8"/>
  <c r="AZ58" i="8" s="1"/>
  <c r="AZ59" i="8" s="1"/>
  <c r="AZ54" i="8"/>
  <c r="BD52" i="8"/>
  <c r="BC52" i="8"/>
  <c r="BB52" i="8"/>
  <c r="BA52" i="8"/>
  <c r="AZ52" i="8"/>
  <c r="AY52" i="8"/>
  <c r="AX52" i="8"/>
  <c r="BD51" i="8"/>
  <c r="BC51" i="8"/>
  <c r="BB51" i="8"/>
  <c r="BA51" i="8"/>
  <c r="AZ51" i="8"/>
  <c r="AY51" i="8"/>
  <c r="AX51" i="8"/>
  <c r="BD50" i="8"/>
  <c r="BC50" i="8"/>
  <c r="BB50" i="8"/>
  <c r="BA50" i="8"/>
  <c r="AZ50" i="8"/>
  <c r="AY50" i="8"/>
  <c r="AX50" i="8"/>
  <c r="BD49" i="8"/>
  <c r="BC49" i="8"/>
  <c r="BB49" i="8"/>
  <c r="BA49" i="8"/>
  <c r="AZ49" i="8"/>
  <c r="AY49" i="8"/>
  <c r="AX49" i="8"/>
  <c r="BD48" i="8"/>
  <c r="BC48" i="8"/>
  <c r="BB48" i="8"/>
  <c r="BA48" i="8"/>
  <c r="AZ48" i="8"/>
  <c r="AY48" i="8"/>
  <c r="AX48" i="8"/>
  <c r="BD47" i="8"/>
  <c r="BC47" i="8"/>
  <c r="BB47" i="8"/>
  <c r="BA47" i="8"/>
  <c r="AZ47" i="8"/>
  <c r="AY47" i="8"/>
  <c r="AX47" i="8"/>
  <c r="BD46" i="8"/>
  <c r="BC46" i="8"/>
  <c r="BB46" i="8"/>
  <c r="BA46" i="8"/>
  <c r="AZ46" i="8"/>
  <c r="AY46" i="8"/>
  <c r="AX46" i="8"/>
  <c r="BD45" i="8"/>
  <c r="BC45" i="8"/>
  <c r="BB45" i="8"/>
  <c r="BA45" i="8"/>
  <c r="AZ45" i="8"/>
  <c r="AY45" i="8"/>
  <c r="AX45" i="8"/>
  <c r="BD44" i="8"/>
  <c r="BC44" i="8"/>
  <c r="BB44" i="8"/>
  <c r="BA44" i="8"/>
  <c r="AZ44" i="8"/>
  <c r="AY44" i="8"/>
  <c r="AX44" i="8"/>
  <c r="BD43" i="8"/>
  <c r="BC43" i="8"/>
  <c r="BB43" i="8"/>
  <c r="BA43" i="8"/>
  <c r="AZ43" i="8"/>
  <c r="AY43" i="8"/>
  <c r="AX43" i="8"/>
  <c r="BJ41" i="8"/>
  <c r="BI41" i="8"/>
  <c r="BG41" i="8"/>
  <c r="BJ40" i="8"/>
  <c r="BI40" i="8"/>
  <c r="BG40" i="8"/>
  <c r="BJ39" i="8"/>
  <c r="BI39" i="8"/>
  <c r="BG39" i="8"/>
  <c r="BJ38" i="8"/>
  <c r="BI38" i="8"/>
  <c r="BG38" i="8"/>
  <c r="BJ37" i="8"/>
  <c r="BI37" i="8"/>
  <c r="BG37" i="8"/>
  <c r="BJ36" i="8"/>
  <c r="BI36" i="8"/>
  <c r="BG36" i="8"/>
  <c r="BJ35" i="8"/>
  <c r="BI35" i="8"/>
  <c r="BG35" i="8"/>
  <c r="BJ34" i="8"/>
  <c r="BI34" i="8"/>
  <c r="BG34" i="8"/>
  <c r="BJ33" i="8"/>
  <c r="BI33" i="8"/>
  <c r="BG33" i="8"/>
  <c r="BJ32" i="8"/>
  <c r="BD5" i="8" s="1"/>
  <c r="BI32" i="8"/>
  <c r="BG32" i="8"/>
  <c r="BC14" i="8"/>
  <c r="AY14" i="8"/>
  <c r="BC13" i="8"/>
  <c r="AY13" i="8"/>
  <c r="BF12" i="8"/>
  <c r="BG12" i="8" s="1"/>
  <c r="BC12" i="8"/>
  <c r="AY12" i="8"/>
  <c r="BF11" i="8"/>
  <c r="BH11" i="8" s="1"/>
  <c r="BC11" i="8"/>
  <c r="AY11" i="8"/>
  <c r="BC10" i="8"/>
  <c r="AY10" i="8"/>
  <c r="BH9" i="8"/>
  <c r="BF9" i="8"/>
  <c r="BG9" i="8" s="1"/>
  <c r="BC9" i="8"/>
  <c r="AY9" i="8"/>
  <c r="BF8" i="8"/>
  <c r="BH8" i="8" s="1"/>
  <c r="BC8" i="8"/>
  <c r="AY8" i="8"/>
  <c r="BF7" i="8"/>
  <c r="BH7" i="8" s="1"/>
  <c r="BC7" i="8"/>
  <c r="AY7" i="8"/>
  <c r="BC6" i="8"/>
  <c r="AY6" i="8"/>
  <c r="BC5" i="8"/>
  <c r="AY5" i="8"/>
  <c r="BC3" i="8"/>
  <c r="E28" i="16"/>
  <c r="E32" i="16"/>
  <c r="E31" i="16"/>
  <c r="E30" i="16"/>
  <c r="E29" i="16"/>
  <c r="E27" i="16"/>
  <c r="E26" i="16"/>
  <c r="E25" i="16"/>
  <c r="E35" i="16"/>
  <c r="E34" i="16"/>
  <c r="E33" i="16"/>
  <c r="E21" i="16"/>
  <c r="E22" i="16"/>
  <c r="E23" i="16"/>
  <c r="E20" i="16"/>
  <c r="E43" i="16" s="1"/>
  <c r="D8" i="16"/>
  <c r="E8" i="16"/>
  <c r="D9" i="16"/>
  <c r="E9" i="16"/>
  <c r="D10" i="16"/>
  <c r="E10" i="16"/>
  <c r="D11" i="16"/>
  <c r="E11" i="16"/>
  <c r="D12" i="16"/>
  <c r="E12" i="16"/>
  <c r="D13" i="16"/>
  <c r="E13" i="16"/>
  <c r="E7" i="16"/>
  <c r="D7" i="16"/>
  <c r="D3" i="16"/>
  <c r="D4" i="16"/>
  <c r="D5" i="16"/>
  <c r="D2" i="16"/>
  <c r="E3" i="16"/>
  <c r="E4" i="16"/>
  <c r="E5" i="16"/>
  <c r="E2" i="16"/>
  <c r="E40" i="16" s="1"/>
  <c r="E46" i="16"/>
  <c r="E39" i="16" l="1"/>
  <c r="E42" i="16"/>
  <c r="AZ56" i="8"/>
  <c r="BD6" i="8"/>
  <c r="BG8" i="8"/>
  <c r="BH12" i="8"/>
  <c r="BG11" i="8"/>
  <c r="BG7" i="8"/>
  <c r="EA77" i="6" l="1"/>
  <c r="EC77" i="6" s="1"/>
  <c r="EA76" i="6"/>
  <c r="EC76" i="6" s="1"/>
  <c r="DS76" i="6"/>
  <c r="EA75" i="6"/>
  <c r="EC75" i="6" s="1"/>
  <c r="DS75" i="6"/>
  <c r="EA74" i="6"/>
  <c r="EC74" i="6" s="1"/>
  <c r="DS74" i="6"/>
  <c r="EC73" i="6"/>
  <c r="EA73" i="6"/>
  <c r="DS73" i="6"/>
  <c r="EA72" i="6"/>
  <c r="EC72" i="6" s="1"/>
  <c r="DS72" i="6"/>
  <c r="EA71" i="6"/>
  <c r="EC71" i="6" s="1"/>
  <c r="DS71" i="6"/>
  <c r="EA70" i="6"/>
  <c r="EC70" i="6" s="1"/>
  <c r="DS70" i="6"/>
  <c r="EA69" i="6"/>
  <c r="EC69" i="6" s="1"/>
  <c r="DS69" i="6"/>
  <c r="EA68" i="6"/>
  <c r="EC68" i="6" s="1"/>
  <c r="DS68" i="6"/>
  <c r="EA67" i="6"/>
  <c r="EC67" i="6" s="1"/>
  <c r="DS67" i="6"/>
  <c r="DS65" i="6"/>
  <c r="DU55" i="6"/>
  <c r="DU58" i="6" s="1"/>
  <c r="DU54" i="6"/>
  <c r="DY52" i="6"/>
  <c r="DX52" i="6"/>
  <c r="DW52" i="6"/>
  <c r="DV52" i="6"/>
  <c r="DU52" i="6"/>
  <c r="DT52" i="6"/>
  <c r="DS52" i="6"/>
  <c r="DY51" i="6"/>
  <c r="DX51" i="6"/>
  <c r="DW51" i="6"/>
  <c r="DV51" i="6"/>
  <c r="DU51" i="6"/>
  <c r="DT51" i="6"/>
  <c r="DS51" i="6"/>
  <c r="DY50" i="6"/>
  <c r="DX50" i="6"/>
  <c r="DW50" i="6"/>
  <c r="DV50" i="6"/>
  <c r="DU50" i="6"/>
  <c r="DT50" i="6"/>
  <c r="DS50" i="6"/>
  <c r="DY49" i="6"/>
  <c r="DX49" i="6"/>
  <c r="DW49" i="6"/>
  <c r="DV49" i="6"/>
  <c r="DU49" i="6"/>
  <c r="DT49" i="6"/>
  <c r="DS49" i="6"/>
  <c r="DY48" i="6"/>
  <c r="DX48" i="6"/>
  <c r="DW48" i="6"/>
  <c r="DV48" i="6"/>
  <c r="DU48" i="6"/>
  <c r="DT48" i="6"/>
  <c r="DS48" i="6"/>
  <c r="DY47" i="6"/>
  <c r="DX47" i="6"/>
  <c r="DW47" i="6"/>
  <c r="DV47" i="6"/>
  <c r="DU47" i="6"/>
  <c r="DT47" i="6"/>
  <c r="DS47" i="6"/>
  <c r="DY46" i="6"/>
  <c r="DX46" i="6"/>
  <c r="DW46" i="6"/>
  <c r="DV46" i="6"/>
  <c r="DU46" i="6"/>
  <c r="DT46" i="6"/>
  <c r="DS46" i="6"/>
  <c r="DY45" i="6"/>
  <c r="DX45" i="6"/>
  <c r="DW45" i="6"/>
  <c r="DV45" i="6"/>
  <c r="DU45" i="6"/>
  <c r="DT45" i="6"/>
  <c r="DS45" i="6"/>
  <c r="DY44" i="6"/>
  <c r="DX44" i="6"/>
  <c r="DW44" i="6"/>
  <c r="DV44" i="6"/>
  <c r="DU44" i="6"/>
  <c r="DT44" i="6"/>
  <c r="DS44" i="6"/>
  <c r="DY43" i="6"/>
  <c r="DX43" i="6"/>
  <c r="DW43" i="6"/>
  <c r="DV43" i="6"/>
  <c r="DU43" i="6"/>
  <c r="DT43" i="6"/>
  <c r="DS43" i="6"/>
  <c r="EC41" i="6"/>
  <c r="EB41" i="6"/>
  <c r="DV76" i="6" s="1"/>
  <c r="DU76" i="6" s="1"/>
  <c r="EC40" i="6"/>
  <c r="EB40" i="6"/>
  <c r="EE40" i="6" s="1"/>
  <c r="EF40" i="6" s="1"/>
  <c r="EC39" i="6"/>
  <c r="EB39" i="6"/>
  <c r="EE39" i="6" s="1"/>
  <c r="EF39" i="6" s="1"/>
  <c r="EC38" i="6"/>
  <c r="EB38" i="6"/>
  <c r="EE38" i="6" s="1"/>
  <c r="EF38" i="6" s="1"/>
  <c r="EC37" i="6"/>
  <c r="EB37" i="6"/>
  <c r="EC36" i="6"/>
  <c r="EB36" i="6"/>
  <c r="DV71" i="6" s="1"/>
  <c r="DU71" i="6" s="1"/>
  <c r="DV89" i="6" s="1"/>
  <c r="EC35" i="6"/>
  <c r="EB35" i="6"/>
  <c r="DV70" i="6" s="1"/>
  <c r="EC34" i="6"/>
  <c r="EB34" i="6"/>
  <c r="DV69" i="6" s="1"/>
  <c r="DU69" i="6" s="1"/>
  <c r="EC33" i="6"/>
  <c r="EB33" i="6"/>
  <c r="EE33" i="6" s="1"/>
  <c r="EF33" i="6" s="1"/>
  <c r="EC32" i="6"/>
  <c r="EB32" i="6"/>
  <c r="ED32" i="6" s="1"/>
  <c r="EG16" i="6"/>
  <c r="EG15" i="6"/>
  <c r="EG14" i="6"/>
  <c r="DT14" i="6"/>
  <c r="EG13" i="6"/>
  <c r="DT13" i="6"/>
  <c r="EG12" i="6"/>
  <c r="DT12" i="6"/>
  <c r="EG11" i="6"/>
  <c r="DT11" i="6"/>
  <c r="EG10" i="6"/>
  <c r="DT10" i="6"/>
  <c r="EG9" i="6"/>
  <c r="DT9" i="6"/>
  <c r="EG8" i="6"/>
  <c r="DT8" i="6"/>
  <c r="EG7" i="6"/>
  <c r="DT7" i="6"/>
  <c r="EG6" i="6"/>
  <c r="DT6" i="6"/>
  <c r="DT5" i="6"/>
  <c r="EB3" i="6"/>
  <c r="EA3" i="6"/>
  <c r="DZ3" i="6"/>
  <c r="DY3" i="6"/>
  <c r="DD74" i="6"/>
  <c r="DD73" i="6"/>
  <c r="DE80" i="6" s="1"/>
  <c r="DJ77" i="6"/>
  <c r="DL77" i="6" s="1"/>
  <c r="DJ76" i="6"/>
  <c r="DL76" i="6" s="1"/>
  <c r="DB76" i="6"/>
  <c r="DJ75" i="6"/>
  <c r="DL75" i="6" s="1"/>
  <c r="DB75" i="6"/>
  <c r="DJ74" i="6"/>
  <c r="DL74" i="6" s="1"/>
  <c r="DB74" i="6"/>
  <c r="DJ73" i="6"/>
  <c r="DL73" i="6" s="1"/>
  <c r="DB73" i="6"/>
  <c r="DJ72" i="6"/>
  <c r="DL72" i="6" s="1"/>
  <c r="DB72" i="6"/>
  <c r="DJ71" i="6"/>
  <c r="DL71" i="6" s="1"/>
  <c r="DB71" i="6"/>
  <c r="DJ70" i="6"/>
  <c r="DL70" i="6" s="1"/>
  <c r="DB70" i="6"/>
  <c r="DJ69" i="6"/>
  <c r="DL69" i="6" s="1"/>
  <c r="DB69" i="6"/>
  <c r="DJ68" i="6"/>
  <c r="DL68" i="6" s="1"/>
  <c r="DB68" i="6"/>
  <c r="DJ67" i="6"/>
  <c r="DL67" i="6" s="1"/>
  <c r="DB67" i="6"/>
  <c r="DB65" i="6"/>
  <c r="DD55" i="6"/>
  <c r="DD58" i="6" s="1"/>
  <c r="DD54" i="6"/>
  <c r="DD56" i="6" s="1"/>
  <c r="DH52" i="6"/>
  <c r="DG52" i="6"/>
  <c r="DF52" i="6"/>
  <c r="DE52" i="6"/>
  <c r="DD52" i="6"/>
  <c r="DC52" i="6"/>
  <c r="DB52" i="6"/>
  <c r="DH51" i="6"/>
  <c r="DG51" i="6"/>
  <c r="DF51" i="6"/>
  <c r="DE51" i="6"/>
  <c r="DD51" i="6"/>
  <c r="DC51" i="6"/>
  <c r="DB51" i="6"/>
  <c r="DH50" i="6"/>
  <c r="DG50" i="6"/>
  <c r="DF50" i="6"/>
  <c r="DE50" i="6"/>
  <c r="DD50" i="6"/>
  <c r="DC50" i="6"/>
  <c r="DB50" i="6"/>
  <c r="DH49" i="6"/>
  <c r="DG49" i="6"/>
  <c r="DF49" i="6"/>
  <c r="DE49" i="6"/>
  <c r="DD49" i="6"/>
  <c r="DC49" i="6"/>
  <c r="DB49" i="6"/>
  <c r="DH48" i="6"/>
  <c r="DG48" i="6"/>
  <c r="DF48" i="6"/>
  <c r="DE48" i="6"/>
  <c r="DD48" i="6"/>
  <c r="DC48" i="6"/>
  <c r="DB48" i="6"/>
  <c r="DH47" i="6"/>
  <c r="DG47" i="6"/>
  <c r="DF47" i="6"/>
  <c r="DE47" i="6"/>
  <c r="DD47" i="6"/>
  <c r="DC47" i="6"/>
  <c r="DB47" i="6"/>
  <c r="DH46" i="6"/>
  <c r="DG46" i="6"/>
  <c r="DF46" i="6"/>
  <c r="DE46" i="6"/>
  <c r="DD46" i="6"/>
  <c r="DC46" i="6"/>
  <c r="DB46" i="6"/>
  <c r="DH45" i="6"/>
  <c r="DG45" i="6"/>
  <c r="DF45" i="6"/>
  <c r="DE45" i="6"/>
  <c r="DD45" i="6"/>
  <c r="DC45" i="6"/>
  <c r="DB45" i="6"/>
  <c r="DH44" i="6"/>
  <c r="DG44" i="6"/>
  <c r="DF44" i="6"/>
  <c r="DE44" i="6"/>
  <c r="DD44" i="6"/>
  <c r="DC44" i="6"/>
  <c r="DB44" i="6"/>
  <c r="DH43" i="6"/>
  <c r="DG43" i="6"/>
  <c r="DF43" i="6"/>
  <c r="DE43" i="6"/>
  <c r="DD43" i="6"/>
  <c r="DC43" i="6"/>
  <c r="DB43" i="6"/>
  <c r="DL41" i="6"/>
  <c r="DK41" i="6"/>
  <c r="DN41" i="6" s="1"/>
  <c r="DO41" i="6" s="1"/>
  <c r="DL40" i="6"/>
  <c r="DK40" i="6"/>
  <c r="DL39" i="6"/>
  <c r="DK39" i="6"/>
  <c r="DE74" i="6" s="1"/>
  <c r="DL38" i="6"/>
  <c r="DK38" i="6"/>
  <c r="DE73" i="6" s="1"/>
  <c r="DL37" i="6"/>
  <c r="DK37" i="6"/>
  <c r="DN37" i="6" s="1"/>
  <c r="DO37" i="6" s="1"/>
  <c r="DL36" i="6"/>
  <c r="DK36" i="6"/>
  <c r="DE71" i="6" s="1"/>
  <c r="DD71" i="6" s="1"/>
  <c r="DE89" i="6" s="1"/>
  <c r="DL35" i="6"/>
  <c r="DK35" i="6"/>
  <c r="DE70" i="6" s="1"/>
  <c r="DD70" i="6" s="1"/>
  <c r="DL34" i="6"/>
  <c r="DK34" i="6"/>
  <c r="DE69" i="6" s="1"/>
  <c r="DD69" i="6" s="1"/>
  <c r="DL33" i="6"/>
  <c r="DK33" i="6"/>
  <c r="DM33" i="6" s="1"/>
  <c r="DL32" i="6"/>
  <c r="DK32" i="6"/>
  <c r="DP16" i="6"/>
  <c r="DP15" i="6"/>
  <c r="DP14" i="6"/>
  <c r="DC14" i="6"/>
  <c r="DP13" i="6"/>
  <c r="DC13" i="6"/>
  <c r="DP12" i="6"/>
  <c r="DC12" i="6"/>
  <c r="DP11" i="6"/>
  <c r="DC11" i="6"/>
  <c r="DP10" i="6"/>
  <c r="DC10" i="6"/>
  <c r="DP9" i="6"/>
  <c r="DC9" i="6"/>
  <c r="DP8" i="6"/>
  <c r="DC8" i="6"/>
  <c r="DP7" i="6"/>
  <c r="DC7" i="6"/>
  <c r="DP6" i="6"/>
  <c r="DC6" i="6"/>
  <c r="DC5" i="6"/>
  <c r="DK3" i="6"/>
  <c r="DJ3" i="6"/>
  <c r="DI3" i="6"/>
  <c r="DH3" i="6"/>
  <c r="DD59" i="6" l="1"/>
  <c r="EE35" i="6"/>
  <c r="EF35" i="6" s="1"/>
  <c r="DM40" i="6"/>
  <c r="ED37" i="6"/>
  <c r="EE37" i="6"/>
  <c r="EF37" i="6" s="1"/>
  <c r="EE32" i="6"/>
  <c r="EF32" i="6" s="1"/>
  <c r="ED36" i="6"/>
  <c r="DM39" i="6"/>
  <c r="EE36" i="6"/>
  <c r="EF36" i="6" s="1"/>
  <c r="EE41" i="6"/>
  <c r="EF41" i="6" s="1"/>
  <c r="DU59" i="6"/>
  <c r="ED35" i="6"/>
  <c r="DM32" i="6"/>
  <c r="DW71" i="6"/>
  <c r="DX71" i="6" s="1"/>
  <c r="DU70" i="6"/>
  <c r="EE34" i="6"/>
  <c r="EF34" i="6" s="1"/>
  <c r="ED41" i="6"/>
  <c r="ED33" i="6"/>
  <c r="ED40" i="6"/>
  <c r="DV67" i="6"/>
  <c r="DU67" i="6" s="1"/>
  <c r="DV68" i="6"/>
  <c r="DV72" i="6"/>
  <c r="DV73" i="6"/>
  <c r="DU73" i="6" s="1"/>
  <c r="DV80" i="6" s="1"/>
  <c r="DW73" i="6" s="1"/>
  <c r="DX73" i="6" s="1"/>
  <c r="DV74" i="6"/>
  <c r="DV75" i="6"/>
  <c r="DU75" i="6" s="1"/>
  <c r="ED39" i="6"/>
  <c r="ED38" i="6"/>
  <c r="DU56" i="6"/>
  <c r="DM36" i="6"/>
  <c r="DN36" i="6"/>
  <c r="DO36" i="6" s="1"/>
  <c r="DM35" i="6"/>
  <c r="DN35" i="6"/>
  <c r="DO35" i="6" s="1"/>
  <c r="DN40" i="6"/>
  <c r="DO40" i="6" s="1"/>
  <c r="DF71" i="6"/>
  <c r="DG71" i="6" s="1"/>
  <c r="DG9" i="6" s="1"/>
  <c r="DF73" i="6"/>
  <c r="DG73" i="6" s="1"/>
  <c r="DN32" i="6"/>
  <c r="DO32" i="6" s="1"/>
  <c r="DM38" i="6"/>
  <c r="DN39" i="6"/>
  <c r="DO39" i="6" s="1"/>
  <c r="DE72" i="6"/>
  <c r="DN33" i="6"/>
  <c r="DO33" i="6" s="1"/>
  <c r="DM37" i="6"/>
  <c r="DN38" i="6"/>
  <c r="DO38" i="6" s="1"/>
  <c r="DE68" i="6"/>
  <c r="DE76" i="6"/>
  <c r="DM41" i="6"/>
  <c r="DE67" i="6"/>
  <c r="DE75" i="6"/>
  <c r="DN34" i="6"/>
  <c r="DO34" i="6" s="1"/>
  <c r="DV81" i="6" l="1"/>
  <c r="DW75" i="6" s="1"/>
  <c r="DX75" i="6" s="1"/>
  <c r="DD75" i="6"/>
  <c r="DE81" i="6" s="1"/>
  <c r="DD68" i="6"/>
  <c r="DD72" i="6"/>
  <c r="DD67" i="6"/>
  <c r="DD76" i="6"/>
  <c r="DX11" i="6"/>
  <c r="ED73" i="6"/>
  <c r="DU72" i="6"/>
  <c r="DU68" i="6"/>
  <c r="DU74" i="6"/>
  <c r="DX9" i="6"/>
  <c r="ED71" i="6"/>
  <c r="DM71" i="6"/>
  <c r="DK9" i="6"/>
  <c r="DI9" i="6"/>
  <c r="DJ9" i="6"/>
  <c r="DH9" i="6"/>
  <c r="DG11" i="6"/>
  <c r="DM73" i="6"/>
  <c r="DV82" i="6" l="1"/>
  <c r="DE91" i="6"/>
  <c r="DE90" i="6"/>
  <c r="DF68" i="6" s="1"/>
  <c r="DG68" i="6" s="1"/>
  <c r="DE82" i="6"/>
  <c r="DF75" i="6"/>
  <c r="DG75" i="6" s="1"/>
  <c r="DV83" i="6"/>
  <c r="DV84" i="6" s="1"/>
  <c r="DW69" i="6" s="1"/>
  <c r="DX69" i="6" s="1"/>
  <c r="DW70" i="6"/>
  <c r="DX70" i="6" s="1"/>
  <c r="DW67" i="6"/>
  <c r="DX67" i="6" s="1"/>
  <c r="DY9" i="6"/>
  <c r="EB9" i="6"/>
  <c r="EA9" i="6"/>
  <c r="DZ9" i="6"/>
  <c r="DV91" i="6"/>
  <c r="DV90" i="6"/>
  <c r="DW68" i="6" s="1"/>
  <c r="DX68" i="6" s="1"/>
  <c r="DX13" i="6"/>
  <c r="ED75" i="6"/>
  <c r="EA11" i="6"/>
  <c r="DZ11" i="6"/>
  <c r="DY11" i="6"/>
  <c r="EB11" i="6"/>
  <c r="DK11" i="6"/>
  <c r="DJ11" i="6"/>
  <c r="DH11" i="6"/>
  <c r="DI11" i="6"/>
  <c r="DV85" i="6" l="1"/>
  <c r="DM75" i="6"/>
  <c r="DG13" i="6"/>
  <c r="DE83" i="6"/>
  <c r="DE84" i="6" s="1"/>
  <c r="DF70" i="6"/>
  <c r="DG70" i="6" s="1"/>
  <c r="DF67" i="6"/>
  <c r="DG67" i="6" s="1"/>
  <c r="DG6" i="6"/>
  <c r="DM68" i="6"/>
  <c r="DV86" i="6"/>
  <c r="DV87" i="6" s="1"/>
  <c r="DW76" i="6" s="1"/>
  <c r="DX76" i="6" s="1"/>
  <c r="DW74" i="6"/>
  <c r="DX74" i="6" s="1"/>
  <c r="DX5" i="6"/>
  <c r="ED67" i="6"/>
  <c r="EB13" i="6"/>
  <c r="EA13" i="6"/>
  <c r="DZ13" i="6"/>
  <c r="DY13" i="6"/>
  <c r="DX8" i="6"/>
  <c r="ED70" i="6"/>
  <c r="ED68" i="6"/>
  <c r="DX6" i="6"/>
  <c r="ED69" i="6"/>
  <c r="DX7" i="6"/>
  <c r="DK6" i="6" l="1"/>
  <c r="DI6" i="6"/>
  <c r="DH6" i="6"/>
  <c r="DJ6" i="6"/>
  <c r="DM70" i="6"/>
  <c r="DG8" i="6"/>
  <c r="DE85" i="6"/>
  <c r="DF69" i="6"/>
  <c r="DG69" i="6" s="1"/>
  <c r="DI13" i="6"/>
  <c r="DH13" i="6"/>
  <c r="DK13" i="6"/>
  <c r="DJ13" i="6"/>
  <c r="DM67" i="6"/>
  <c r="DG5" i="6"/>
  <c r="EB6" i="6"/>
  <c r="EA6" i="6"/>
  <c r="DZ6" i="6"/>
  <c r="DY6" i="6"/>
  <c r="EB5" i="6"/>
  <c r="EA5" i="6"/>
  <c r="DZ5" i="6"/>
  <c r="DY5" i="6"/>
  <c r="DX12" i="6"/>
  <c r="ED74" i="6"/>
  <c r="EB7" i="6"/>
  <c r="DZ7" i="6"/>
  <c r="EA7" i="6"/>
  <c r="DY7" i="6"/>
  <c r="EA8" i="6"/>
  <c r="EB8" i="6"/>
  <c r="DZ8" i="6"/>
  <c r="DY8" i="6"/>
  <c r="DW72" i="6"/>
  <c r="DX72" i="6" s="1"/>
  <c r="ED76" i="6"/>
  <c r="DX14" i="6"/>
  <c r="DH8" i="6" l="1"/>
  <c r="DI8" i="6"/>
  <c r="DJ8" i="6"/>
  <c r="DK8" i="6"/>
  <c r="DG7" i="6"/>
  <c r="DM69" i="6"/>
  <c r="DE86" i="6"/>
  <c r="DE87" i="6" s="1"/>
  <c r="DF76" i="6" s="1"/>
  <c r="DG76" i="6" s="1"/>
  <c r="DF74" i="6"/>
  <c r="DG74" i="6" s="1"/>
  <c r="DH5" i="6"/>
  <c r="DI5" i="6"/>
  <c r="DK5" i="6"/>
  <c r="DJ5" i="6"/>
  <c r="DX10" i="6"/>
  <c r="ED72" i="6"/>
  <c r="ED78" i="6" s="1"/>
  <c r="EA14" i="6"/>
  <c r="EB14" i="6"/>
  <c r="DY14" i="6"/>
  <c r="DZ14" i="6"/>
  <c r="EB12" i="6"/>
  <c r="EA12" i="6"/>
  <c r="DZ12" i="6"/>
  <c r="DY12" i="6"/>
  <c r="DF72" i="6" l="1"/>
  <c r="DG72" i="6" s="1"/>
  <c r="DG10" i="6" s="1"/>
  <c r="DM72" i="6"/>
  <c r="DG12" i="6"/>
  <c r="DM74" i="6"/>
  <c r="DK7" i="6"/>
  <c r="DI7" i="6"/>
  <c r="DJ7" i="6"/>
  <c r="DH7" i="6"/>
  <c r="DM76" i="6"/>
  <c r="DG14" i="6"/>
  <c r="DZ10" i="6"/>
  <c r="DY10" i="6"/>
  <c r="EB10" i="6"/>
  <c r="EA10" i="6"/>
  <c r="DM78" i="6" l="1"/>
  <c r="DI12" i="6"/>
  <c r="DJ12" i="6"/>
  <c r="DH12" i="6"/>
  <c r="DK12" i="6"/>
  <c r="DJ14" i="6"/>
  <c r="DI14" i="6"/>
  <c r="DH14" i="6"/>
  <c r="DK14" i="6"/>
  <c r="DH10" i="6"/>
  <c r="DI10" i="6"/>
  <c r="DK10" i="6"/>
  <c r="DJ10" i="6"/>
  <c r="F9" i="15" l="1"/>
  <c r="F8" i="15"/>
  <c r="F7" i="15"/>
  <c r="F6" i="15"/>
  <c r="F5" i="15"/>
  <c r="F4" i="15"/>
  <c r="F3" i="15"/>
  <c r="F6" i="13"/>
  <c r="F5" i="13"/>
  <c r="F4" i="13"/>
  <c r="F3" i="13"/>
  <c r="AY3" i="5"/>
  <c r="W3" i="5"/>
  <c r="AK3" i="5"/>
  <c r="V3" i="5"/>
  <c r="AJ3" i="5"/>
  <c r="H3" i="5"/>
  <c r="AU61" i="5"/>
  <c r="AG61" i="5"/>
  <c r="E61" i="5"/>
  <c r="S61" i="5"/>
  <c r="CS77" i="6"/>
  <c r="CU77" i="6" s="1"/>
  <c r="CS76" i="6"/>
  <c r="CU76" i="6" s="1"/>
  <c r="CK76" i="6"/>
  <c r="CS75" i="6"/>
  <c r="CU75" i="6" s="1"/>
  <c r="CK75" i="6"/>
  <c r="CS74" i="6"/>
  <c r="CU74" i="6" s="1"/>
  <c r="CK74" i="6"/>
  <c r="CS73" i="6"/>
  <c r="CU73" i="6" s="1"/>
  <c r="CK73" i="6"/>
  <c r="CS72" i="6"/>
  <c r="CU72" i="6" s="1"/>
  <c r="CK72" i="6"/>
  <c r="CS71" i="6"/>
  <c r="CU71" i="6" s="1"/>
  <c r="CK71" i="6"/>
  <c r="CS70" i="6"/>
  <c r="CU70" i="6" s="1"/>
  <c r="CK70" i="6"/>
  <c r="CS69" i="6"/>
  <c r="CU69" i="6" s="1"/>
  <c r="CK69" i="6"/>
  <c r="CS68" i="6"/>
  <c r="CU68" i="6" s="1"/>
  <c r="CK68" i="6"/>
  <c r="CS67" i="6"/>
  <c r="CU67" i="6" s="1"/>
  <c r="CK67" i="6"/>
  <c r="CK65" i="6"/>
  <c r="CM55" i="6"/>
  <c r="CM58" i="6" s="1"/>
  <c r="CM54" i="6"/>
  <c r="CM56" i="6" s="1"/>
  <c r="CQ52" i="6"/>
  <c r="CP52" i="6"/>
  <c r="CO52" i="6"/>
  <c r="CN52" i="6"/>
  <c r="CM52" i="6"/>
  <c r="CL52" i="6"/>
  <c r="CK52" i="6"/>
  <c r="CQ51" i="6"/>
  <c r="CP51" i="6"/>
  <c r="CO51" i="6"/>
  <c r="CN51" i="6"/>
  <c r="CM51" i="6"/>
  <c r="CL51" i="6"/>
  <c r="CK51" i="6"/>
  <c r="CQ50" i="6"/>
  <c r="CP50" i="6"/>
  <c r="CO50" i="6"/>
  <c r="CN50" i="6"/>
  <c r="CM50" i="6"/>
  <c r="CL50" i="6"/>
  <c r="CK50" i="6"/>
  <c r="CQ49" i="6"/>
  <c r="CP49" i="6"/>
  <c r="CO49" i="6"/>
  <c r="CN49" i="6"/>
  <c r="CM49" i="6"/>
  <c r="CL49" i="6"/>
  <c r="CK49" i="6"/>
  <c r="CQ48" i="6"/>
  <c r="CP48" i="6"/>
  <c r="CO48" i="6"/>
  <c r="CN48" i="6"/>
  <c r="CM48" i="6"/>
  <c r="CL48" i="6"/>
  <c r="CK48" i="6"/>
  <c r="CQ47" i="6"/>
  <c r="CP47" i="6"/>
  <c r="CO47" i="6"/>
  <c r="CN47" i="6"/>
  <c r="CM47" i="6"/>
  <c r="CL47" i="6"/>
  <c r="CK47" i="6"/>
  <c r="CQ46" i="6"/>
  <c r="CP46" i="6"/>
  <c r="CO46" i="6"/>
  <c r="CN46" i="6"/>
  <c r="CM46" i="6"/>
  <c r="CL46" i="6"/>
  <c r="CK46" i="6"/>
  <c r="CQ45" i="6"/>
  <c r="CP45" i="6"/>
  <c r="CO45" i="6"/>
  <c r="CN45" i="6"/>
  <c r="CM45" i="6"/>
  <c r="CL45" i="6"/>
  <c r="CK45" i="6"/>
  <c r="CQ44" i="6"/>
  <c r="CP44" i="6"/>
  <c r="CO44" i="6"/>
  <c r="CN44" i="6"/>
  <c r="CM44" i="6"/>
  <c r="CL44" i="6"/>
  <c r="CK44" i="6"/>
  <c r="CQ43" i="6"/>
  <c r="CP43" i="6"/>
  <c r="CO43" i="6"/>
  <c r="CN43" i="6"/>
  <c r="CM43" i="6"/>
  <c r="CL43" i="6"/>
  <c r="CK43" i="6"/>
  <c r="CU41" i="6"/>
  <c r="CT41" i="6"/>
  <c r="CW41" i="6" s="1"/>
  <c r="CX41" i="6" s="1"/>
  <c r="CU40" i="6"/>
  <c r="CT40" i="6"/>
  <c r="CU39" i="6"/>
  <c r="CT39" i="6"/>
  <c r="CN74" i="6" s="1"/>
  <c r="CM74" i="6" s="1"/>
  <c r="CU38" i="6"/>
  <c r="CT38" i="6"/>
  <c r="CW38" i="6" s="1"/>
  <c r="CX38" i="6" s="1"/>
  <c r="CU37" i="6"/>
  <c r="CT37" i="6"/>
  <c r="CW37" i="6" s="1"/>
  <c r="CX37" i="6" s="1"/>
  <c r="CU36" i="6"/>
  <c r="CT36" i="6"/>
  <c r="CW36" i="6" s="1"/>
  <c r="CX36" i="6" s="1"/>
  <c r="CU35" i="6"/>
  <c r="CT35" i="6"/>
  <c r="CW35" i="6" s="1"/>
  <c r="CX35" i="6" s="1"/>
  <c r="CU34" i="6"/>
  <c r="CT34" i="6"/>
  <c r="CN69" i="6" s="1"/>
  <c r="CM69" i="6" s="1"/>
  <c r="CU33" i="6"/>
  <c r="CT33" i="6"/>
  <c r="CU32" i="6"/>
  <c r="CT32" i="6"/>
  <c r="CN67" i="6" s="1"/>
  <c r="CM67" i="6" s="1"/>
  <c r="CY16" i="6"/>
  <c r="CY15" i="6"/>
  <c r="CY14" i="6"/>
  <c r="CL14" i="6"/>
  <c r="CY13" i="6"/>
  <c r="CL13" i="6"/>
  <c r="CY12" i="6"/>
  <c r="CL12" i="6"/>
  <c r="CY11" i="6"/>
  <c r="CL11" i="6"/>
  <c r="CY10" i="6"/>
  <c r="CL10" i="6"/>
  <c r="CY9" i="6"/>
  <c r="CL9" i="6"/>
  <c r="CY8" i="6"/>
  <c r="CL8" i="6"/>
  <c r="CY7" i="6"/>
  <c r="CL7" i="6"/>
  <c r="CY6" i="6"/>
  <c r="CL6" i="6"/>
  <c r="CL5" i="6"/>
  <c r="CT3" i="6"/>
  <c r="CS3" i="6"/>
  <c r="CR3" i="6"/>
  <c r="CQ3" i="6"/>
  <c r="CA68" i="6"/>
  <c r="CC68" i="6" s="1"/>
  <c r="CA69" i="6"/>
  <c r="CC69" i="6" s="1"/>
  <c r="CA70" i="6"/>
  <c r="CC70" i="6" s="1"/>
  <c r="CA71" i="6"/>
  <c r="CC71" i="6" s="1"/>
  <c r="CA72" i="6"/>
  <c r="CC72" i="6" s="1"/>
  <c r="CA73" i="6"/>
  <c r="CC73" i="6" s="1"/>
  <c r="CA74" i="6"/>
  <c r="CC74" i="6" s="1"/>
  <c r="CA75" i="6"/>
  <c r="CC75" i="6" s="1"/>
  <c r="CA76" i="6"/>
  <c r="CC76" i="6" s="1"/>
  <c r="CA77" i="6"/>
  <c r="CA67" i="6"/>
  <c r="CC67" i="6" s="1"/>
  <c r="BS65" i="6"/>
  <c r="BS68" i="6"/>
  <c r="BS69" i="6"/>
  <c r="BS70" i="6"/>
  <c r="BS71" i="6"/>
  <c r="BS72" i="6"/>
  <c r="BS73" i="6"/>
  <c r="BS74" i="6"/>
  <c r="BS75" i="6"/>
  <c r="BS76" i="6"/>
  <c r="BS67" i="6"/>
  <c r="CC77" i="6"/>
  <c r="AP7" i="8"/>
  <c r="AQ7" i="8" s="1"/>
  <c r="AP8" i="8"/>
  <c r="AQ8" i="8" s="1"/>
  <c r="AP9" i="8"/>
  <c r="AR9" i="8" s="1"/>
  <c r="AP11" i="8"/>
  <c r="AR11" i="8" s="1"/>
  <c r="AP12" i="8"/>
  <c r="AQ12" i="8" s="1"/>
  <c r="Z12" i="8"/>
  <c r="AB12" i="8" s="1"/>
  <c r="Z11" i="8"/>
  <c r="AB11" i="8" s="1"/>
  <c r="Z9" i="8"/>
  <c r="AB9" i="8" s="1"/>
  <c r="Z8" i="8"/>
  <c r="AB8" i="8" s="1"/>
  <c r="Z7" i="8"/>
  <c r="AB7" i="8" s="1"/>
  <c r="AB6" i="4"/>
  <c r="AB7" i="4"/>
  <c r="AB8" i="4"/>
  <c r="AB9" i="4"/>
  <c r="AB10" i="4"/>
  <c r="AB11" i="4"/>
  <c r="AB12" i="4"/>
  <c r="AB13" i="4"/>
  <c r="AB14" i="4"/>
  <c r="AB5" i="4"/>
  <c r="AB3" i="4"/>
  <c r="AO6" i="3"/>
  <c r="AO7" i="3"/>
  <c r="AO8" i="3"/>
  <c r="AO9" i="3"/>
  <c r="AO10" i="3"/>
  <c r="AO11" i="3"/>
  <c r="AO12" i="3"/>
  <c r="AO13" i="3"/>
  <c r="AO14" i="3"/>
  <c r="AO5" i="3"/>
  <c r="AJ55" i="8"/>
  <c r="AJ58" i="8" s="1"/>
  <c r="AJ54" i="8"/>
  <c r="AN52" i="8"/>
  <c r="AM52" i="8"/>
  <c r="AL52" i="8"/>
  <c r="AK52" i="8"/>
  <c r="AJ52" i="8"/>
  <c r="AI52" i="8"/>
  <c r="AH52" i="8"/>
  <c r="AN51" i="8"/>
  <c r="AM51" i="8"/>
  <c r="AL51" i="8"/>
  <c r="AK51" i="8"/>
  <c r="AJ51" i="8"/>
  <c r="AI51" i="8"/>
  <c r="AH51" i="8"/>
  <c r="AN50" i="8"/>
  <c r="AM50" i="8"/>
  <c r="AL50" i="8"/>
  <c r="AK50" i="8"/>
  <c r="AJ50" i="8"/>
  <c r="AI50" i="8"/>
  <c r="AH50" i="8"/>
  <c r="AN49" i="8"/>
  <c r="AM49" i="8"/>
  <c r="AL49" i="8"/>
  <c r="AK49" i="8"/>
  <c r="AJ49" i="8"/>
  <c r="AI49" i="8"/>
  <c r="AH49" i="8"/>
  <c r="AN48" i="8"/>
  <c r="AM48" i="8"/>
  <c r="AL48" i="8"/>
  <c r="AK48" i="8"/>
  <c r="AJ48" i="8"/>
  <c r="AI48" i="8"/>
  <c r="AH48" i="8"/>
  <c r="AN47" i="8"/>
  <c r="AM47" i="8"/>
  <c r="AL47" i="8"/>
  <c r="AK47" i="8"/>
  <c r="AJ47" i="8"/>
  <c r="AI47" i="8"/>
  <c r="AH47" i="8"/>
  <c r="AN46" i="8"/>
  <c r="AM46" i="8"/>
  <c r="AL46" i="8"/>
  <c r="AK46" i="8"/>
  <c r="AJ46" i="8"/>
  <c r="AI46" i="8"/>
  <c r="AH46" i="8"/>
  <c r="AN45" i="8"/>
  <c r="AM45" i="8"/>
  <c r="AL45" i="8"/>
  <c r="AK45" i="8"/>
  <c r="AJ45" i="8"/>
  <c r="AI45" i="8"/>
  <c r="AH45" i="8"/>
  <c r="AN44" i="8"/>
  <c r="AM44" i="8"/>
  <c r="AL44" i="8"/>
  <c r="AK44" i="8"/>
  <c r="AJ44" i="8"/>
  <c r="AI44" i="8"/>
  <c r="AH44" i="8"/>
  <c r="AN43" i="8"/>
  <c r="AM43" i="8"/>
  <c r="AL43" i="8"/>
  <c r="AK43" i="8"/>
  <c r="AJ43" i="8"/>
  <c r="AI43" i="8"/>
  <c r="AH43" i="8"/>
  <c r="AT41" i="8"/>
  <c r="AS41" i="8"/>
  <c r="AQ41" i="8"/>
  <c r="AT40" i="8"/>
  <c r="AS40" i="8"/>
  <c r="AQ40" i="8"/>
  <c r="AT39" i="8"/>
  <c r="AS39" i="8"/>
  <c r="AQ39" i="8"/>
  <c r="AT38" i="8"/>
  <c r="AS38" i="8"/>
  <c r="AQ38" i="8"/>
  <c r="AT37" i="8"/>
  <c r="AS37" i="8"/>
  <c r="AQ37" i="8"/>
  <c r="AT36" i="8"/>
  <c r="AS36" i="8"/>
  <c r="AQ36" i="8"/>
  <c r="AT35" i="8"/>
  <c r="AS35" i="8"/>
  <c r="AQ35" i="8"/>
  <c r="AT34" i="8"/>
  <c r="AS34" i="8"/>
  <c r="AQ34" i="8"/>
  <c r="AT33" i="8"/>
  <c r="AN6" i="8" s="1"/>
  <c r="AS33" i="8"/>
  <c r="AQ33" i="8"/>
  <c r="AT32" i="8"/>
  <c r="AN5" i="8" s="1"/>
  <c r="AS32" i="8"/>
  <c r="AQ32" i="8"/>
  <c r="AM14" i="8"/>
  <c r="AI14" i="8"/>
  <c r="AM13" i="8"/>
  <c r="AI13" i="8"/>
  <c r="AM12" i="8"/>
  <c r="AI12" i="8"/>
  <c r="AM11" i="8"/>
  <c r="AI11" i="8"/>
  <c r="AM10" i="8"/>
  <c r="AI10" i="8"/>
  <c r="AM9" i="8"/>
  <c r="AI9" i="8"/>
  <c r="AM8" i="8"/>
  <c r="AI8" i="8"/>
  <c r="AM7" i="8"/>
  <c r="AI7" i="8"/>
  <c r="AM6" i="8"/>
  <c r="AI6" i="8"/>
  <c r="AM5" i="8"/>
  <c r="AI5" i="8"/>
  <c r="AM3" i="8"/>
  <c r="Y41" i="3"/>
  <c r="Z41" i="3" s="1"/>
  <c r="Y40" i="3"/>
  <c r="Z40" i="3" s="1"/>
  <c r="Y39" i="3"/>
  <c r="Z39" i="3" s="1"/>
  <c r="Y38" i="3"/>
  <c r="Z38" i="3" s="1"/>
  <c r="Y37" i="3"/>
  <c r="Z37" i="3" s="1"/>
  <c r="Y36" i="3"/>
  <c r="Z36" i="3" s="1"/>
  <c r="Y35" i="3"/>
  <c r="Z35" i="3" s="1"/>
  <c r="Y34" i="3"/>
  <c r="Z34" i="3" s="1"/>
  <c r="Y33" i="3"/>
  <c r="Z33" i="3" s="1"/>
  <c r="Y32" i="3"/>
  <c r="Z32" i="3" s="1"/>
  <c r="AE7" i="8"/>
  <c r="AE8" i="8"/>
  <c r="AE9" i="8"/>
  <c r="AE10" i="8"/>
  <c r="AE11" i="8"/>
  <c r="AE12" i="8"/>
  <c r="AE13" i="8"/>
  <c r="AE14" i="8"/>
  <c r="AE15" i="8"/>
  <c r="AE16" i="8"/>
  <c r="AE6" i="8"/>
  <c r="W14" i="8"/>
  <c r="W13" i="8"/>
  <c r="W12" i="8"/>
  <c r="W11" i="8"/>
  <c r="W10" i="8"/>
  <c r="W9" i="8"/>
  <c r="W8" i="8"/>
  <c r="W7" i="8"/>
  <c r="W6" i="8"/>
  <c r="W5" i="8"/>
  <c r="W3" i="8"/>
  <c r="L3" i="8"/>
  <c r="H14" i="8"/>
  <c r="H13" i="8"/>
  <c r="H12" i="8"/>
  <c r="H11" i="8"/>
  <c r="H10" i="8"/>
  <c r="H9" i="8"/>
  <c r="H8" i="8"/>
  <c r="H7" i="8"/>
  <c r="H6" i="8"/>
  <c r="H5" i="8"/>
  <c r="H3" i="8"/>
  <c r="BU55" i="6"/>
  <c r="BU58" i="6" s="1"/>
  <c r="BU54" i="6"/>
  <c r="BY52" i="6"/>
  <c r="BX52" i="6"/>
  <c r="BW52" i="6"/>
  <c r="BV52" i="6"/>
  <c r="BU52" i="6"/>
  <c r="BT52" i="6"/>
  <c r="BS52" i="6"/>
  <c r="BY51" i="6"/>
  <c r="BX51" i="6"/>
  <c r="BW51" i="6"/>
  <c r="BV51" i="6"/>
  <c r="BU51" i="6"/>
  <c r="BT51" i="6"/>
  <c r="BS51" i="6"/>
  <c r="BY50" i="6"/>
  <c r="BX50" i="6"/>
  <c r="BW50" i="6"/>
  <c r="BV50" i="6"/>
  <c r="BU50" i="6"/>
  <c r="BT50" i="6"/>
  <c r="BS50" i="6"/>
  <c r="BY49" i="6"/>
  <c r="BX49" i="6"/>
  <c r="BW49" i="6"/>
  <c r="BV49" i="6"/>
  <c r="BU49" i="6"/>
  <c r="BT49" i="6"/>
  <c r="BS49" i="6"/>
  <c r="BY48" i="6"/>
  <c r="BX48" i="6"/>
  <c r="BW48" i="6"/>
  <c r="BV48" i="6"/>
  <c r="BU48" i="6"/>
  <c r="BT48" i="6"/>
  <c r="BS48" i="6"/>
  <c r="BY47" i="6"/>
  <c r="BX47" i="6"/>
  <c r="BW47" i="6"/>
  <c r="BV47" i="6"/>
  <c r="BU47" i="6"/>
  <c r="BT47" i="6"/>
  <c r="BS47" i="6"/>
  <c r="BY46" i="6"/>
  <c r="BX46" i="6"/>
  <c r="BW46" i="6"/>
  <c r="BV46" i="6"/>
  <c r="BU46" i="6"/>
  <c r="BT46" i="6"/>
  <c r="BS46" i="6"/>
  <c r="BY45" i="6"/>
  <c r="BX45" i="6"/>
  <c r="BW45" i="6"/>
  <c r="BV45" i="6"/>
  <c r="BU45" i="6"/>
  <c r="BT45" i="6"/>
  <c r="BS45" i="6"/>
  <c r="BY44" i="6"/>
  <c r="BX44" i="6"/>
  <c r="BW44" i="6"/>
  <c r="BV44" i="6"/>
  <c r="BU44" i="6"/>
  <c r="BT44" i="6"/>
  <c r="BS44" i="6"/>
  <c r="BY43" i="6"/>
  <c r="BX43" i="6"/>
  <c r="BW43" i="6"/>
  <c r="BV43" i="6"/>
  <c r="BU43" i="6"/>
  <c r="BT43" i="6"/>
  <c r="BS43" i="6"/>
  <c r="CC41" i="6"/>
  <c r="CB41" i="6"/>
  <c r="CE41" i="6" s="1"/>
  <c r="CF41" i="6" s="1"/>
  <c r="CC40" i="6"/>
  <c r="CB40" i="6"/>
  <c r="CE40" i="6" s="1"/>
  <c r="CF40" i="6" s="1"/>
  <c r="CC39" i="6"/>
  <c r="CB39" i="6"/>
  <c r="CE39" i="6" s="1"/>
  <c r="CF39" i="6" s="1"/>
  <c r="CC38" i="6"/>
  <c r="CB38" i="6"/>
  <c r="CE38" i="6" s="1"/>
  <c r="CF38" i="6" s="1"/>
  <c r="CC37" i="6"/>
  <c r="CB37" i="6"/>
  <c r="CE37" i="6" s="1"/>
  <c r="CF37" i="6" s="1"/>
  <c r="CC36" i="6"/>
  <c r="CB36" i="6"/>
  <c r="CE36" i="6" s="1"/>
  <c r="CF36" i="6" s="1"/>
  <c r="CC35" i="6"/>
  <c r="CB35" i="6"/>
  <c r="CE35" i="6" s="1"/>
  <c r="CF35" i="6" s="1"/>
  <c r="CC34" i="6"/>
  <c r="CG34" i="6" s="1"/>
  <c r="CH34" i="6" s="1"/>
  <c r="CB34" i="6"/>
  <c r="CE34" i="6" s="1"/>
  <c r="CF34" i="6" s="1"/>
  <c r="CC33" i="6"/>
  <c r="CB33" i="6"/>
  <c r="CE33" i="6" s="1"/>
  <c r="CF33" i="6" s="1"/>
  <c r="CC32" i="6"/>
  <c r="CB32" i="6"/>
  <c r="CE32" i="6" s="1"/>
  <c r="CF32" i="6" s="1"/>
  <c r="CG16" i="6"/>
  <c r="CG15" i="6"/>
  <c r="CG14" i="6"/>
  <c r="BT14" i="6"/>
  <c r="CG13" i="6"/>
  <c r="BT13" i="6"/>
  <c r="CG12" i="6"/>
  <c r="BT12" i="6"/>
  <c r="CG11" i="6"/>
  <c r="BT11" i="6"/>
  <c r="CG10" i="6"/>
  <c r="BT10" i="6"/>
  <c r="CG9" i="6"/>
  <c r="BT9" i="6"/>
  <c r="CG8" i="6"/>
  <c r="BT8" i="6"/>
  <c r="CG7" i="6"/>
  <c r="BT7" i="6"/>
  <c r="CG6" i="6"/>
  <c r="BT6" i="6"/>
  <c r="BT5" i="6"/>
  <c r="CB3" i="6"/>
  <c r="CA3" i="6"/>
  <c r="BZ3" i="6"/>
  <c r="BY3" i="6"/>
  <c r="BR41" i="4"/>
  <c r="BR40" i="4"/>
  <c r="BR39" i="4"/>
  <c r="BR38" i="4"/>
  <c r="BR37" i="4"/>
  <c r="BR36" i="4"/>
  <c r="BR35" i="4"/>
  <c r="BR34" i="4"/>
  <c r="BT34" i="4" s="1"/>
  <c r="BU34" i="4" s="1"/>
  <c r="BR33" i="4"/>
  <c r="BR32" i="4"/>
  <c r="AY41" i="4"/>
  <c r="AY40" i="4"/>
  <c r="AY39" i="4"/>
  <c r="AY38" i="4"/>
  <c r="AY37" i="4"/>
  <c r="AY36" i="4"/>
  <c r="AY35" i="4"/>
  <c r="AY34" i="4"/>
  <c r="BA34" i="4" s="1"/>
  <c r="BB34" i="4" s="1"/>
  <c r="AY33" i="4"/>
  <c r="AY32" i="4"/>
  <c r="AF41" i="4"/>
  <c r="AF40" i="4"/>
  <c r="AF39" i="4"/>
  <c r="AF38" i="4"/>
  <c r="AF37" i="4"/>
  <c r="AF36" i="4"/>
  <c r="AF35" i="4"/>
  <c r="AF34" i="4"/>
  <c r="AH34" i="4" s="1"/>
  <c r="AI34" i="4" s="1"/>
  <c r="AF33" i="4"/>
  <c r="AF32" i="4"/>
  <c r="BL41" i="6"/>
  <c r="BK41" i="6"/>
  <c r="BN41" i="6" s="1"/>
  <c r="BO41" i="6" s="1"/>
  <c r="BL40" i="6"/>
  <c r="BK40" i="6"/>
  <c r="BN40" i="6" s="1"/>
  <c r="BO40" i="6" s="1"/>
  <c r="BL39" i="6"/>
  <c r="BK39" i="6"/>
  <c r="BN39" i="6" s="1"/>
  <c r="BO39" i="6" s="1"/>
  <c r="BL38" i="6"/>
  <c r="BK38" i="6"/>
  <c r="BN38" i="6" s="1"/>
  <c r="BO38" i="6" s="1"/>
  <c r="BL37" i="6"/>
  <c r="BK37" i="6"/>
  <c r="BN37" i="6" s="1"/>
  <c r="BO37" i="6" s="1"/>
  <c r="BL36" i="6"/>
  <c r="BK36" i="6"/>
  <c r="BN36" i="6" s="1"/>
  <c r="BO36" i="6" s="1"/>
  <c r="BL35" i="6"/>
  <c r="BK35" i="6"/>
  <c r="BN35" i="6" s="1"/>
  <c r="BO35" i="6" s="1"/>
  <c r="BL34" i="6"/>
  <c r="BK34" i="6"/>
  <c r="BN34" i="6" s="1"/>
  <c r="BO34" i="6" s="1"/>
  <c r="BL33" i="6"/>
  <c r="BK33" i="6"/>
  <c r="BN33" i="6" s="1"/>
  <c r="BO33" i="6" s="1"/>
  <c r="BL32" i="6"/>
  <c r="BK32" i="6"/>
  <c r="BN32" i="6" s="1"/>
  <c r="BO32" i="6" s="1"/>
  <c r="AU41" i="6"/>
  <c r="AT41" i="6"/>
  <c r="AW41" i="6" s="1"/>
  <c r="AX41" i="6" s="1"/>
  <c r="AU40" i="6"/>
  <c r="AT40" i="6"/>
  <c r="AW40" i="6" s="1"/>
  <c r="AX40" i="6" s="1"/>
  <c r="AU39" i="6"/>
  <c r="AT39" i="6"/>
  <c r="AW39" i="6" s="1"/>
  <c r="AX39" i="6" s="1"/>
  <c r="AU38" i="6"/>
  <c r="AT38" i="6"/>
  <c r="AW38" i="6" s="1"/>
  <c r="AX38" i="6" s="1"/>
  <c r="AU37" i="6"/>
  <c r="AT37" i="6"/>
  <c r="AW37" i="6" s="1"/>
  <c r="AX37" i="6" s="1"/>
  <c r="AU36" i="6"/>
  <c r="AT36" i="6"/>
  <c r="AW36" i="6" s="1"/>
  <c r="AX36" i="6" s="1"/>
  <c r="AU35" i="6"/>
  <c r="AT35" i="6"/>
  <c r="AW35" i="6" s="1"/>
  <c r="AX35" i="6" s="1"/>
  <c r="AU34" i="6"/>
  <c r="AT34" i="6"/>
  <c r="AW34" i="6" s="1"/>
  <c r="AX34" i="6" s="1"/>
  <c r="AU33" i="6"/>
  <c r="AT33" i="6"/>
  <c r="AW33" i="6" s="1"/>
  <c r="AX33" i="6" s="1"/>
  <c r="AU32" i="6"/>
  <c r="AT32" i="6"/>
  <c r="AW32" i="6" s="1"/>
  <c r="AX32" i="6" s="1"/>
  <c r="AD41" i="6"/>
  <c r="AC41" i="6"/>
  <c r="AF41" i="6" s="1"/>
  <c r="AG41" i="6" s="1"/>
  <c r="AD40" i="6"/>
  <c r="AC40" i="6"/>
  <c r="AF40" i="6" s="1"/>
  <c r="AG40" i="6" s="1"/>
  <c r="AD39" i="6"/>
  <c r="AC39" i="6"/>
  <c r="AF39" i="6" s="1"/>
  <c r="AG39" i="6" s="1"/>
  <c r="AD38" i="6"/>
  <c r="AC38" i="6"/>
  <c r="AF38" i="6" s="1"/>
  <c r="AG38" i="6" s="1"/>
  <c r="AD37" i="6"/>
  <c r="AC37" i="6"/>
  <c r="AF37" i="6" s="1"/>
  <c r="AG37" i="6" s="1"/>
  <c r="AD36" i="6"/>
  <c r="AC36" i="6"/>
  <c r="AF36" i="6" s="1"/>
  <c r="AG36" i="6" s="1"/>
  <c r="AD35" i="6"/>
  <c r="AC35" i="6"/>
  <c r="AF35" i="6" s="1"/>
  <c r="AG35" i="6" s="1"/>
  <c r="AD34" i="6"/>
  <c r="AC34" i="6"/>
  <c r="AF34" i="6" s="1"/>
  <c r="AG34" i="6" s="1"/>
  <c r="AD33" i="6"/>
  <c r="AC33" i="6"/>
  <c r="AF33" i="6" s="1"/>
  <c r="AG33" i="6" s="1"/>
  <c r="AD32" i="6"/>
  <c r="AC32" i="6"/>
  <c r="AF32" i="6" s="1"/>
  <c r="AG32" i="6" s="1"/>
  <c r="CV38" i="6" l="1"/>
  <c r="CV33" i="6"/>
  <c r="CV40" i="6"/>
  <c r="AA8" i="8"/>
  <c r="AA7" i="8"/>
  <c r="AA11" i="8"/>
  <c r="AR8" i="8"/>
  <c r="AA9" i="8"/>
  <c r="AA12" i="8"/>
  <c r="AR7" i="8"/>
  <c r="AQ9" i="8"/>
  <c r="CW34" i="6"/>
  <c r="CX34" i="6" s="1"/>
  <c r="AR12" i="8"/>
  <c r="AQ11" i="8"/>
  <c r="CV35" i="6"/>
  <c r="BV71" i="6"/>
  <c r="BU71" i="6" s="1"/>
  <c r="BV89" i="6" s="1"/>
  <c r="CW32" i="6"/>
  <c r="CX32" i="6" s="1"/>
  <c r="CW39" i="6"/>
  <c r="CX39" i="6" s="1"/>
  <c r="CM59" i="6"/>
  <c r="CN72" i="6"/>
  <c r="BV67" i="6"/>
  <c r="BU67" i="6" s="1"/>
  <c r="CV32" i="6"/>
  <c r="CW33" i="6"/>
  <c r="CX33" i="6" s="1"/>
  <c r="CV39" i="6"/>
  <c r="CW40" i="6"/>
  <c r="CX40" i="6" s="1"/>
  <c r="CN73" i="6"/>
  <c r="CV37" i="6"/>
  <c r="CN71" i="6"/>
  <c r="CV36" i="6"/>
  <c r="CN70" i="6"/>
  <c r="CN68" i="6"/>
  <c r="CN76" i="6"/>
  <c r="CV41" i="6"/>
  <c r="CN75" i="6"/>
  <c r="BV70" i="6"/>
  <c r="BU70" i="6" s="1"/>
  <c r="BV76" i="6"/>
  <c r="BU76" i="6" s="1"/>
  <c r="BV68" i="6"/>
  <c r="BV69" i="6"/>
  <c r="BU69" i="6" s="1"/>
  <c r="BV75" i="6"/>
  <c r="BU75" i="6" s="1"/>
  <c r="BV81" i="6" s="1"/>
  <c r="BV72" i="6"/>
  <c r="BU72" i="6" s="1"/>
  <c r="BV74" i="6"/>
  <c r="BU74" i="6" s="1"/>
  <c r="BV73" i="6"/>
  <c r="AJ56" i="8"/>
  <c r="AJ59" i="8"/>
  <c r="BU59" i="6"/>
  <c r="BU56" i="6"/>
  <c r="CM75" i="6" l="1"/>
  <c r="CM73" i="6"/>
  <c r="CN80" i="6" s="1"/>
  <c r="CN81" i="6" s="1"/>
  <c r="CM70" i="6"/>
  <c r="BV82" i="6"/>
  <c r="BV83" i="6" s="1"/>
  <c r="BV84" i="6" s="1"/>
  <c r="BW69" i="6" s="1"/>
  <c r="BX69" i="6" s="1"/>
  <c r="CM72" i="6"/>
  <c r="CM76" i="6"/>
  <c r="BW73" i="6"/>
  <c r="BX73" i="6" s="1"/>
  <c r="CD73" i="6" s="1"/>
  <c r="BU73" i="6"/>
  <c r="CM71" i="6"/>
  <c r="CN89" i="6" s="1"/>
  <c r="CO71" i="6" s="1"/>
  <c r="CP71" i="6" s="1"/>
  <c r="CP9" i="6" s="1"/>
  <c r="BW71" i="6"/>
  <c r="BX71" i="6" s="1"/>
  <c r="CD71" i="6" s="1"/>
  <c r="BW67" i="6"/>
  <c r="BX67" i="6" s="1"/>
  <c r="CD67" i="6" s="1"/>
  <c r="BW75" i="6"/>
  <c r="BX75" i="6" s="1"/>
  <c r="CD75" i="6" s="1"/>
  <c r="CM68" i="6"/>
  <c r="BU68" i="6"/>
  <c r="CD69" i="6"/>
  <c r="BX7" i="6"/>
  <c r="BX9" i="6" l="1"/>
  <c r="CD36" i="6" s="1"/>
  <c r="CG36" i="6" s="1"/>
  <c r="CH36" i="6" s="1"/>
  <c r="BW70" i="6"/>
  <c r="BX70" i="6" s="1"/>
  <c r="CD70" i="6" s="1"/>
  <c r="BX13" i="6"/>
  <c r="CD40" i="6" s="1"/>
  <c r="CG40" i="6" s="1"/>
  <c r="CH40" i="6" s="1"/>
  <c r="BX5" i="6"/>
  <c r="CD32" i="6" s="1"/>
  <c r="CG32" i="6" s="1"/>
  <c r="CH32" i="6" s="1"/>
  <c r="CN91" i="6"/>
  <c r="CN90" i="6"/>
  <c r="CO68" i="6" s="1"/>
  <c r="CP68" i="6" s="1"/>
  <c r="CV71" i="6"/>
  <c r="CN82" i="6"/>
  <c r="CO67" i="6" s="1"/>
  <c r="CP67" i="6" s="1"/>
  <c r="BV91" i="6"/>
  <c r="BV90" i="6"/>
  <c r="BW68" i="6" s="1"/>
  <c r="BX68" i="6" s="1"/>
  <c r="CO73" i="6"/>
  <c r="CP73" i="6" s="1"/>
  <c r="BX8" i="6"/>
  <c r="CD35" i="6" s="1"/>
  <c r="CG35" i="6" s="1"/>
  <c r="CH35" i="6" s="1"/>
  <c r="BX11" i="6"/>
  <c r="CD38" i="6" s="1"/>
  <c r="CG38" i="6" s="1"/>
  <c r="CH38" i="6" s="1"/>
  <c r="CO75" i="6"/>
  <c r="CP75" i="6" s="1"/>
  <c r="BV85" i="6"/>
  <c r="CT9" i="6"/>
  <c r="CS9" i="6"/>
  <c r="CR9" i="6"/>
  <c r="CQ9" i="6"/>
  <c r="CB7" i="6"/>
  <c r="BY7" i="6"/>
  <c r="CA7" i="6"/>
  <c r="BZ7" i="6"/>
  <c r="BZ9" i="6"/>
  <c r="BY9" i="6"/>
  <c r="CB9" i="6"/>
  <c r="CA9" i="6"/>
  <c r="CA13" i="6"/>
  <c r="BZ13" i="6"/>
  <c r="CB13" i="6"/>
  <c r="BY13" i="6"/>
  <c r="CB5" i="6"/>
  <c r="CA5" i="6"/>
  <c r="BZ5" i="6"/>
  <c r="BY5" i="6"/>
  <c r="BY8" i="6"/>
  <c r="CB8" i="6"/>
  <c r="CA8" i="6"/>
  <c r="BZ8" i="6"/>
  <c r="CB11" i="6" l="1"/>
  <c r="CA11" i="6"/>
  <c r="BZ11" i="6"/>
  <c r="CD68" i="6"/>
  <c r="BX6" i="6"/>
  <c r="CP5" i="6"/>
  <c r="CV67" i="6"/>
  <c r="BV86" i="6"/>
  <c r="BV87" i="6" s="1"/>
  <c r="BW76" i="6" s="1"/>
  <c r="BX76" i="6" s="1"/>
  <c r="BW74" i="6"/>
  <c r="BX74" i="6" s="1"/>
  <c r="CN83" i="6"/>
  <c r="CN84" i="6" s="1"/>
  <c r="CP11" i="6"/>
  <c r="CV73" i="6"/>
  <c r="CP13" i="6"/>
  <c r="CV75" i="6"/>
  <c r="CV68" i="6"/>
  <c r="CP6" i="6"/>
  <c r="BY11" i="6"/>
  <c r="BW72" i="6" l="1"/>
  <c r="BX72" i="6" s="1"/>
  <c r="CN85" i="6"/>
  <c r="CO69" i="6"/>
  <c r="CP69" i="6" s="1"/>
  <c r="CQ6" i="6"/>
  <c r="CT6" i="6"/>
  <c r="CR6" i="6"/>
  <c r="CS6" i="6"/>
  <c r="CD72" i="6"/>
  <c r="CD78" i="6" s="1"/>
  <c r="BX10" i="6"/>
  <c r="CQ5" i="6"/>
  <c r="CS5" i="6"/>
  <c r="CT5" i="6"/>
  <c r="CR5" i="6"/>
  <c r="BX12" i="6"/>
  <c r="CD74" i="6"/>
  <c r="CR11" i="6"/>
  <c r="CT11" i="6"/>
  <c r="CS11" i="6"/>
  <c r="CQ11" i="6"/>
  <c r="BX14" i="6"/>
  <c r="CD76" i="6"/>
  <c r="CT13" i="6"/>
  <c r="CS13" i="6"/>
  <c r="CQ13" i="6"/>
  <c r="CR13" i="6"/>
  <c r="CD33" i="6"/>
  <c r="CG33" i="6" s="1"/>
  <c r="CH33" i="6" s="1"/>
  <c r="CB6" i="6"/>
  <c r="CA6" i="6"/>
  <c r="BZ6" i="6"/>
  <c r="BY6" i="6"/>
  <c r="CO70" i="6"/>
  <c r="CP70" i="6" s="1"/>
  <c r="M33" i="6"/>
  <c r="M34" i="6"/>
  <c r="M35" i="6"/>
  <c r="M36" i="6"/>
  <c r="M37" i="6"/>
  <c r="M38" i="6"/>
  <c r="M39" i="6"/>
  <c r="M40" i="6"/>
  <c r="M41" i="6"/>
  <c r="M32" i="6"/>
  <c r="BO14" i="4"/>
  <c r="BO13" i="4"/>
  <c r="BO12" i="4"/>
  <c r="BO11" i="4"/>
  <c r="BO10" i="4"/>
  <c r="BO9" i="4"/>
  <c r="BO8" i="4"/>
  <c r="BO7" i="4"/>
  <c r="BO3" i="4"/>
  <c r="AV14" i="4"/>
  <c r="AV13" i="4"/>
  <c r="AV12" i="4"/>
  <c r="AV11" i="4"/>
  <c r="AV10" i="4"/>
  <c r="AV9" i="4"/>
  <c r="AV8" i="4"/>
  <c r="AV7" i="4"/>
  <c r="AV3" i="4"/>
  <c r="AC14" i="4"/>
  <c r="AC13" i="4"/>
  <c r="AC12" i="4"/>
  <c r="AC11" i="4"/>
  <c r="AC10" i="4"/>
  <c r="AC9" i="4"/>
  <c r="AC8" i="4"/>
  <c r="AC7" i="4"/>
  <c r="AC3" i="4"/>
  <c r="J3" i="4"/>
  <c r="J8" i="4"/>
  <c r="J9" i="4"/>
  <c r="J10" i="4"/>
  <c r="J11" i="4"/>
  <c r="J12" i="4"/>
  <c r="J13" i="4"/>
  <c r="J14" i="4"/>
  <c r="J7" i="4"/>
  <c r="D6" i="4"/>
  <c r="D7" i="4"/>
  <c r="D8" i="4"/>
  <c r="D9" i="4"/>
  <c r="D10" i="4"/>
  <c r="D11" i="4"/>
  <c r="D12" i="4"/>
  <c r="D13" i="4"/>
  <c r="D14" i="4"/>
  <c r="D5" i="4"/>
  <c r="M33" i="4"/>
  <c r="M34" i="4"/>
  <c r="O34" i="4" s="1"/>
  <c r="P34" i="4" s="1"/>
  <c r="M35" i="4"/>
  <c r="M36" i="4"/>
  <c r="M37" i="4"/>
  <c r="M38" i="4"/>
  <c r="M39" i="4"/>
  <c r="M40" i="4"/>
  <c r="M41" i="4"/>
  <c r="M32" i="4"/>
  <c r="CD41" i="6" l="1"/>
  <c r="CG41" i="6" s="1"/>
  <c r="CH41" i="6" s="1"/>
  <c r="CA14" i="6"/>
  <c r="BY14" i="6"/>
  <c r="BZ14" i="6"/>
  <c r="CB14" i="6"/>
  <c r="CP8" i="6"/>
  <c r="CV70" i="6"/>
  <c r="CD37" i="6"/>
  <c r="CG37" i="6" s="1"/>
  <c r="CH37" i="6" s="1"/>
  <c r="BZ10" i="6"/>
  <c r="BY10" i="6"/>
  <c r="CA10" i="6"/>
  <c r="CB10" i="6"/>
  <c r="CV69" i="6"/>
  <c r="CP7" i="6"/>
  <c r="CD39" i="6"/>
  <c r="CG39" i="6" s="1"/>
  <c r="CH39" i="6" s="1"/>
  <c r="CA12" i="6"/>
  <c r="BZ12" i="6"/>
  <c r="BY12" i="6"/>
  <c r="CB12" i="6"/>
  <c r="CN86" i="6"/>
  <c r="CN87" i="6" s="1"/>
  <c r="CO76" i="6" s="1"/>
  <c r="CP76" i="6" s="1"/>
  <c r="CO74" i="6"/>
  <c r="CP74" i="6" s="1"/>
  <c r="BN33" i="10"/>
  <c r="BN34" i="10"/>
  <c r="BN35" i="10"/>
  <c r="BN36" i="10"/>
  <c r="BP36" i="10" s="1"/>
  <c r="BN37" i="10"/>
  <c r="BP37" i="10" s="1"/>
  <c r="BN38" i="10"/>
  <c r="BN39" i="10"/>
  <c r="BP39" i="10" s="1"/>
  <c r="BN40" i="10"/>
  <c r="BP40" i="10" s="1"/>
  <c r="BN41" i="10"/>
  <c r="BN32" i="10"/>
  <c r="BO35" i="10"/>
  <c r="BO36" i="10"/>
  <c r="BO37" i="10"/>
  <c r="BO38" i="10"/>
  <c r="BO39" i="10"/>
  <c r="BO40" i="10"/>
  <c r="BO41" i="10"/>
  <c r="BO33" i="10"/>
  <c r="BO32" i="10"/>
  <c r="BP41" i="10"/>
  <c r="BP38" i="10"/>
  <c r="BP35" i="10"/>
  <c r="BP34" i="10"/>
  <c r="BP33" i="10"/>
  <c r="BP32" i="10"/>
  <c r="AH33" i="10"/>
  <c r="AH34" i="10"/>
  <c r="AH35" i="10"/>
  <c r="AH36" i="10"/>
  <c r="AH37" i="10"/>
  <c r="AJ37" i="10" s="1"/>
  <c r="AH38" i="10"/>
  <c r="AH39" i="10"/>
  <c r="AJ39" i="10" s="1"/>
  <c r="AH40" i="10"/>
  <c r="AJ40" i="10" s="1"/>
  <c r="AH41" i="10"/>
  <c r="AJ41" i="10" s="1"/>
  <c r="AH32" i="10"/>
  <c r="AJ32" i="10" s="1"/>
  <c r="AI41" i="10"/>
  <c r="AI40" i="10"/>
  <c r="AI39" i="10"/>
  <c r="AI38" i="10"/>
  <c r="AJ38" i="10"/>
  <c r="AI37" i="10"/>
  <c r="AI36" i="10"/>
  <c r="AJ36" i="10"/>
  <c r="AI35" i="10"/>
  <c r="AJ35" i="10"/>
  <c r="AJ34" i="10"/>
  <c r="AJ33" i="10"/>
  <c r="AI33" i="10"/>
  <c r="AI32" i="10"/>
  <c r="Q33" i="10"/>
  <c r="Q35" i="10"/>
  <c r="Q36" i="10"/>
  <c r="Q37" i="10"/>
  <c r="Q38" i="10"/>
  <c r="Q39" i="10"/>
  <c r="Q40" i="10"/>
  <c r="Q41" i="10"/>
  <c r="Q32" i="10"/>
  <c r="P33" i="10"/>
  <c r="P34" i="10"/>
  <c r="P35" i="10"/>
  <c r="P36" i="10"/>
  <c r="P37" i="10"/>
  <c r="P38" i="10"/>
  <c r="P39" i="10"/>
  <c r="P40" i="10"/>
  <c r="P41" i="10"/>
  <c r="P32" i="10"/>
  <c r="BM41" i="10"/>
  <c r="BK41" i="10"/>
  <c r="BL41" i="10" s="1"/>
  <c r="BJ41" i="10"/>
  <c r="BI41" i="10"/>
  <c r="BH41" i="10"/>
  <c r="BM40" i="10"/>
  <c r="BK40" i="10"/>
  <c r="BL40" i="10" s="1"/>
  <c r="BJ40" i="10"/>
  <c r="BI40" i="10"/>
  <c r="BH40" i="10"/>
  <c r="BK39" i="10"/>
  <c r="BJ39" i="10"/>
  <c r="BI39" i="10"/>
  <c r="BH39" i="10"/>
  <c r="BL38" i="10"/>
  <c r="BK38" i="10"/>
  <c r="BJ38" i="10"/>
  <c r="BI38" i="10"/>
  <c r="BH38" i="10"/>
  <c r="BK37" i="10"/>
  <c r="BL37" i="10" s="1"/>
  <c r="BJ37" i="10"/>
  <c r="BI37" i="10"/>
  <c r="BH37" i="10"/>
  <c r="BL36" i="10"/>
  <c r="BK36" i="10"/>
  <c r="BM36" i="10" s="1"/>
  <c r="BJ36" i="10"/>
  <c r="BI36" i="10"/>
  <c r="BH36" i="10"/>
  <c r="BK35" i="10"/>
  <c r="BJ35" i="10"/>
  <c r="BI35" i="10"/>
  <c r="BH35" i="10"/>
  <c r="BK34" i="10"/>
  <c r="BJ34" i="10"/>
  <c r="BI34" i="10"/>
  <c r="BH34" i="10"/>
  <c r="BM33" i="10"/>
  <c r="BL33" i="10"/>
  <c r="BK33" i="10"/>
  <c r="BJ33" i="10"/>
  <c r="BI33" i="10"/>
  <c r="BH33" i="10"/>
  <c r="BM32" i="10"/>
  <c r="BL32" i="10"/>
  <c r="BK32" i="10"/>
  <c r="BJ32" i="10"/>
  <c r="BI32" i="10"/>
  <c r="BH32" i="10"/>
  <c r="BO41" i="3"/>
  <c r="BJ41" i="3"/>
  <c r="BH41" i="3"/>
  <c r="BI41" i="3" s="1"/>
  <c r="BO40" i="3"/>
  <c r="BJ40" i="3"/>
  <c r="BH40" i="3"/>
  <c r="BI40" i="3" s="1"/>
  <c r="BJ39" i="3"/>
  <c r="BH39" i="3"/>
  <c r="BI39" i="3" s="1"/>
  <c r="BL38" i="3"/>
  <c r="BJ38" i="3"/>
  <c r="BH38" i="3"/>
  <c r="BI38" i="3" s="1"/>
  <c r="BO37" i="3"/>
  <c r="BJ37" i="3"/>
  <c r="BH37" i="3"/>
  <c r="BI37" i="3" s="1"/>
  <c r="BO36" i="3"/>
  <c r="BJ36" i="3"/>
  <c r="BH36" i="3"/>
  <c r="BI36" i="3" s="1"/>
  <c r="BJ35" i="3"/>
  <c r="BH35" i="3"/>
  <c r="BI35" i="3" s="1"/>
  <c r="BO34" i="3"/>
  <c r="BJ34" i="3"/>
  <c r="BH34" i="3"/>
  <c r="BI34" i="3" s="1"/>
  <c r="BO33" i="3"/>
  <c r="BJ33" i="3"/>
  <c r="BH33" i="3"/>
  <c r="BI33" i="3" s="1"/>
  <c r="BL32" i="3"/>
  <c r="BJ32" i="3"/>
  <c r="BH32" i="3"/>
  <c r="BI32" i="3" s="1"/>
  <c r="CO72" i="6" l="1"/>
  <c r="CP72" i="6" s="1"/>
  <c r="CP10" i="6" s="1"/>
  <c r="CV72" i="6"/>
  <c r="CT7" i="6"/>
  <c r="CS7" i="6"/>
  <c r="CR7" i="6"/>
  <c r="CQ7" i="6"/>
  <c r="CR8" i="6"/>
  <c r="CQ8" i="6"/>
  <c r="CT8" i="6"/>
  <c r="CS8" i="6"/>
  <c r="CP12" i="6"/>
  <c r="CV74" i="6"/>
  <c r="CP14" i="6"/>
  <c r="CV76" i="6"/>
  <c r="BO38" i="3"/>
  <c r="BL36" i="3"/>
  <c r="BL34" i="3"/>
  <c r="BL40" i="3"/>
  <c r="BJ30" i="10"/>
  <c r="BM38" i="10"/>
  <c r="BL39" i="10"/>
  <c r="BM39" i="10"/>
  <c r="BM37" i="10"/>
  <c r="BL34" i="10"/>
  <c r="BL35" i="10"/>
  <c r="BM34" i="10"/>
  <c r="BM35" i="10"/>
  <c r="BO32" i="3"/>
  <c r="BO35" i="3"/>
  <c r="BO39" i="3"/>
  <c r="BL37" i="3"/>
  <c r="BL41" i="3"/>
  <c r="BL33" i="3"/>
  <c r="BL39" i="3"/>
  <c r="BL35" i="3"/>
  <c r="CV78" i="6" l="1"/>
  <c r="CT10" i="6"/>
  <c r="CS10" i="6"/>
  <c r="CR10" i="6"/>
  <c r="CQ10" i="6"/>
  <c r="CQ14" i="6"/>
  <c r="CT14" i="6"/>
  <c r="CR14" i="6"/>
  <c r="CS14" i="6"/>
  <c r="CT12" i="6"/>
  <c r="CS12" i="6"/>
  <c r="CQ12" i="6"/>
  <c r="CR12" i="6"/>
  <c r="AN33" i="3"/>
  <c r="AO33" i="3" s="1"/>
  <c r="AN34" i="3"/>
  <c r="AO34" i="3" s="1"/>
  <c r="AN35" i="3"/>
  <c r="AO35" i="3" s="1"/>
  <c r="AN36" i="3"/>
  <c r="AO36" i="3" s="1"/>
  <c r="AN37" i="3"/>
  <c r="AO37" i="3" s="1"/>
  <c r="AN38" i="3"/>
  <c r="AO38" i="3" s="1"/>
  <c r="AN39" i="3"/>
  <c r="AO39" i="3" s="1"/>
  <c r="AN40" i="3"/>
  <c r="AO40" i="3" s="1"/>
  <c r="AN41" i="3"/>
  <c r="AO41" i="3" s="1"/>
  <c r="AN32" i="3"/>
  <c r="AO32" i="3" s="1"/>
  <c r="J33" i="3"/>
  <c r="K33" i="3" s="1"/>
  <c r="J34" i="3"/>
  <c r="K34" i="3" s="1"/>
  <c r="J35" i="3"/>
  <c r="K35" i="3" s="1"/>
  <c r="J36" i="3"/>
  <c r="K36" i="3" s="1"/>
  <c r="J37" i="3"/>
  <c r="K37" i="3" s="1"/>
  <c r="J38" i="3"/>
  <c r="K38" i="3" s="1"/>
  <c r="J39" i="3"/>
  <c r="K39" i="3" s="1"/>
  <c r="J40" i="3"/>
  <c r="K40" i="3" s="1"/>
  <c r="J41" i="3"/>
  <c r="K41" i="3" s="1"/>
  <c r="J32" i="3"/>
  <c r="K32" i="3" s="1"/>
  <c r="AN3" i="3"/>
  <c r="AN6" i="3"/>
  <c r="AN7" i="3"/>
  <c r="AN8" i="3"/>
  <c r="AN9" i="3"/>
  <c r="AN10" i="3"/>
  <c r="AN11" i="3"/>
  <c r="AN12" i="3"/>
  <c r="AN13" i="3"/>
  <c r="AN14" i="3"/>
  <c r="AN5" i="3"/>
  <c r="BC55" i="3"/>
  <c r="BC58" i="3" s="1"/>
  <c r="BC61" i="3" s="1"/>
  <c r="BC54" i="3"/>
  <c r="BG52" i="3"/>
  <c r="BF52" i="3"/>
  <c r="BE52" i="3"/>
  <c r="BD52" i="3"/>
  <c r="BC52" i="3"/>
  <c r="BB52" i="3"/>
  <c r="BA52" i="3"/>
  <c r="BG51" i="3"/>
  <c r="BF51" i="3"/>
  <c r="BE51" i="3"/>
  <c r="BD51" i="3"/>
  <c r="BC51" i="3"/>
  <c r="BB51" i="3"/>
  <c r="BA51" i="3"/>
  <c r="BG50" i="3"/>
  <c r="BF50" i="3"/>
  <c r="BE50" i="3"/>
  <c r="BD50" i="3"/>
  <c r="BC50" i="3"/>
  <c r="BB50" i="3"/>
  <c r="BA50" i="3"/>
  <c r="BG49" i="3"/>
  <c r="BF49" i="3"/>
  <c r="BE49" i="3"/>
  <c r="BD49" i="3"/>
  <c r="BC49" i="3"/>
  <c r="BB49" i="3"/>
  <c r="BA49" i="3"/>
  <c r="BG48" i="3"/>
  <c r="BF48" i="3"/>
  <c r="BE48" i="3"/>
  <c r="BD48" i="3"/>
  <c r="BC48" i="3"/>
  <c r="BB48" i="3"/>
  <c r="BA48" i="3"/>
  <c r="BG47" i="3"/>
  <c r="BF47" i="3"/>
  <c r="BE47" i="3"/>
  <c r="BD47" i="3"/>
  <c r="BC47" i="3"/>
  <c r="BB47" i="3"/>
  <c r="BA47" i="3"/>
  <c r="BG46" i="3"/>
  <c r="BF46" i="3"/>
  <c r="BE46" i="3"/>
  <c r="BD46" i="3"/>
  <c r="BC46" i="3"/>
  <c r="BB46" i="3"/>
  <c r="BA46" i="3"/>
  <c r="BG45" i="3"/>
  <c r="BF45" i="3"/>
  <c r="BE45" i="3"/>
  <c r="BD45" i="3"/>
  <c r="BC45" i="3"/>
  <c r="BB45" i="3"/>
  <c r="BA45" i="3"/>
  <c r="BG44" i="3"/>
  <c r="BF44" i="3"/>
  <c r="BE44" i="3"/>
  <c r="BD44" i="3"/>
  <c r="BC44" i="3"/>
  <c r="BB44" i="3"/>
  <c r="BA44" i="3"/>
  <c r="BG43" i="3"/>
  <c r="BF43" i="3"/>
  <c r="BE43" i="3"/>
  <c r="BD43" i="3"/>
  <c r="BC43" i="3"/>
  <c r="BB43" i="3"/>
  <c r="BA43" i="3"/>
  <c r="BJ14" i="3"/>
  <c r="BJ13" i="3"/>
  <c r="BJ12" i="3"/>
  <c r="BJ11" i="3"/>
  <c r="BJ10" i="3"/>
  <c r="BJ9" i="3"/>
  <c r="BJ8" i="3"/>
  <c r="BJ7" i="3"/>
  <c r="BJ6" i="3"/>
  <c r="BJ5" i="3"/>
  <c r="BI28" i="3"/>
  <c r="BH28" i="3"/>
  <c r="BI27" i="3"/>
  <c r="BH27" i="3"/>
  <c r="BI26" i="3"/>
  <c r="BH26" i="3"/>
  <c r="BI25" i="3"/>
  <c r="BH25" i="3"/>
  <c r="BI24" i="3"/>
  <c r="BH24" i="3"/>
  <c r="BI23" i="3"/>
  <c r="BH23" i="3"/>
  <c r="BI22" i="3"/>
  <c r="BH22" i="3"/>
  <c r="BI21" i="3"/>
  <c r="BH21" i="3"/>
  <c r="BI20" i="3"/>
  <c r="BH20" i="3"/>
  <c r="BI19" i="3"/>
  <c r="BH19" i="3"/>
  <c r="BG14" i="3"/>
  <c r="BF14" i="3"/>
  <c r="BB14" i="3"/>
  <c r="BG13" i="3"/>
  <c r="BF13" i="3"/>
  <c r="BB13" i="3"/>
  <c r="BG12" i="3"/>
  <c r="BF12" i="3"/>
  <c r="BB12" i="3"/>
  <c r="BG11" i="3"/>
  <c r="BF11" i="3"/>
  <c r="BB11" i="3"/>
  <c r="BG10" i="3"/>
  <c r="BF10" i="3"/>
  <c r="BB10" i="3"/>
  <c r="BG9" i="3"/>
  <c r="BF9" i="3"/>
  <c r="BB9" i="3"/>
  <c r="BG8" i="3"/>
  <c r="BF8" i="3"/>
  <c r="BB8" i="3"/>
  <c r="BG7" i="3"/>
  <c r="BF7" i="3"/>
  <c r="BB7" i="3"/>
  <c r="BG6" i="3"/>
  <c r="BF6" i="3"/>
  <c r="BB6" i="3"/>
  <c r="BG5" i="3"/>
  <c r="BF5" i="3"/>
  <c r="BB5" i="3"/>
  <c r="BG3" i="3"/>
  <c r="BF3" i="3"/>
  <c r="AI55" i="3"/>
  <c r="AI58" i="3" s="1"/>
  <c r="AI54" i="3"/>
  <c r="AM52" i="3"/>
  <c r="AL52" i="3"/>
  <c r="AK52" i="3"/>
  <c r="AJ52" i="3"/>
  <c r="AI52" i="3"/>
  <c r="AH52" i="3"/>
  <c r="AG52" i="3"/>
  <c r="AM51" i="3"/>
  <c r="AL51" i="3"/>
  <c r="AK51" i="3"/>
  <c r="AJ51" i="3"/>
  <c r="AI51" i="3"/>
  <c r="AH51" i="3"/>
  <c r="AG51" i="3"/>
  <c r="AM50" i="3"/>
  <c r="AL50" i="3"/>
  <c r="AK50" i="3"/>
  <c r="AJ50" i="3"/>
  <c r="AI50" i="3"/>
  <c r="AH50" i="3"/>
  <c r="AG50" i="3"/>
  <c r="AM49" i="3"/>
  <c r="AL49" i="3"/>
  <c r="AK49" i="3"/>
  <c r="AJ49" i="3"/>
  <c r="AI49" i="3"/>
  <c r="AH49" i="3"/>
  <c r="AG49" i="3"/>
  <c r="AM48" i="3"/>
  <c r="AL48" i="3"/>
  <c r="AK48" i="3"/>
  <c r="AJ48" i="3"/>
  <c r="AI48" i="3"/>
  <c r="AH48" i="3"/>
  <c r="AG48" i="3"/>
  <c r="AM47" i="3"/>
  <c r="AL47" i="3"/>
  <c r="AK47" i="3"/>
  <c r="AJ47" i="3"/>
  <c r="AI47" i="3"/>
  <c r="AH47" i="3"/>
  <c r="AG47" i="3"/>
  <c r="AM46" i="3"/>
  <c r="AL46" i="3"/>
  <c r="AK46" i="3"/>
  <c r="AJ46" i="3"/>
  <c r="AI46" i="3"/>
  <c r="AH46" i="3"/>
  <c r="AG46" i="3"/>
  <c r="AM45" i="3"/>
  <c r="AL45" i="3"/>
  <c r="AK45" i="3"/>
  <c r="AJ45" i="3"/>
  <c r="AI45" i="3"/>
  <c r="AH45" i="3"/>
  <c r="AG45" i="3"/>
  <c r="AM44" i="3"/>
  <c r="AL44" i="3"/>
  <c r="AK44" i="3"/>
  <c r="AJ44" i="3"/>
  <c r="AI44" i="3"/>
  <c r="AH44" i="3"/>
  <c r="AG44" i="3"/>
  <c r="AM43" i="3"/>
  <c r="AL43" i="3"/>
  <c r="AK43" i="3"/>
  <c r="AJ43" i="3"/>
  <c r="AI43" i="3"/>
  <c r="AH43" i="3"/>
  <c r="AG43" i="3"/>
  <c r="AP41" i="3"/>
  <c r="AP40" i="3"/>
  <c r="AP39" i="3"/>
  <c r="BK39" i="8" s="1"/>
  <c r="AP38" i="3"/>
  <c r="BK38" i="8" s="1"/>
  <c r="AP37" i="3"/>
  <c r="AP36" i="3"/>
  <c r="BK36" i="8" s="1"/>
  <c r="AP35" i="3"/>
  <c r="BK35" i="8" s="1"/>
  <c r="AP34" i="3"/>
  <c r="BK34" i="8" s="1"/>
  <c r="AP33" i="3"/>
  <c r="BK33" i="8" s="1"/>
  <c r="AP32" i="3"/>
  <c r="BK32" i="8" s="1"/>
  <c r="AO28" i="3"/>
  <c r="AN28" i="3"/>
  <c r="AO27" i="3"/>
  <c r="AN27" i="3"/>
  <c r="AO26" i="3"/>
  <c r="AN26" i="3"/>
  <c r="AO25" i="3"/>
  <c r="AN25" i="3"/>
  <c r="AO24" i="3"/>
  <c r="AN24" i="3"/>
  <c r="AO23" i="3"/>
  <c r="AN23" i="3"/>
  <c r="AO22" i="3"/>
  <c r="AN22" i="3"/>
  <c r="AO21" i="3"/>
  <c r="AN21" i="3"/>
  <c r="AO20" i="3"/>
  <c r="AN20" i="3"/>
  <c r="AO19" i="3"/>
  <c r="AN19" i="3"/>
  <c r="AM14" i="3"/>
  <c r="AL14" i="3"/>
  <c r="AH14" i="3"/>
  <c r="AM13" i="3"/>
  <c r="AL13" i="3"/>
  <c r="AH13" i="3"/>
  <c r="AM12" i="3"/>
  <c r="AL12" i="3"/>
  <c r="AH12" i="3"/>
  <c r="AM11" i="3"/>
  <c r="AL11" i="3"/>
  <c r="AH11" i="3"/>
  <c r="AM10" i="3"/>
  <c r="AL10" i="3"/>
  <c r="AH10" i="3"/>
  <c r="AM9" i="3"/>
  <c r="AL9" i="3"/>
  <c r="AH9" i="3"/>
  <c r="AM8" i="3"/>
  <c r="AL8" i="3"/>
  <c r="AH8" i="3"/>
  <c r="AM7" i="3"/>
  <c r="AL7" i="3"/>
  <c r="AH7" i="3"/>
  <c r="AM6" i="3"/>
  <c r="AL6" i="3"/>
  <c r="AH6" i="3"/>
  <c r="AM5" i="3"/>
  <c r="AL5" i="3"/>
  <c r="AH5" i="3"/>
  <c r="AM3" i="3"/>
  <c r="AL3" i="3"/>
  <c r="AU32" i="3" l="1"/>
  <c r="AS32" i="3"/>
  <c r="AU36" i="3"/>
  <c r="AS36" i="3"/>
  <c r="AV36" i="3" s="1"/>
  <c r="AU40" i="3"/>
  <c r="AS40" i="3"/>
  <c r="AV40" i="3" s="1"/>
  <c r="BK40" i="8"/>
  <c r="BE13" i="8"/>
  <c r="BE10" i="8"/>
  <c r="BK37" i="8"/>
  <c r="BK41" i="8"/>
  <c r="BE14" i="8"/>
  <c r="BF14" i="8" s="1"/>
  <c r="BK16" i="3"/>
  <c r="E16" i="16" s="1"/>
  <c r="AU35" i="3"/>
  <c r="AS35" i="3"/>
  <c r="AV35" i="3" s="1"/>
  <c r="AU33" i="3"/>
  <c r="AS33" i="3"/>
  <c r="AU37" i="3"/>
  <c r="AS37" i="3"/>
  <c r="AV37" i="3" s="1"/>
  <c r="AU41" i="3"/>
  <c r="AS41" i="3"/>
  <c r="AV41" i="3" s="1"/>
  <c r="AU39" i="3"/>
  <c r="AS39" i="3"/>
  <c r="AV39" i="3" s="1"/>
  <c r="AU34" i="3"/>
  <c r="AS34" i="3"/>
  <c r="AW34" i="3" s="1"/>
  <c r="AX34" i="3" s="1"/>
  <c r="AU38" i="3"/>
  <c r="AS38" i="3"/>
  <c r="AV38" i="3" s="1"/>
  <c r="AP10" i="3"/>
  <c r="AU37" i="8"/>
  <c r="AO10" i="8"/>
  <c r="AP7" i="3"/>
  <c r="AU34" i="8"/>
  <c r="AP11" i="3"/>
  <c r="AU38" i="8"/>
  <c r="AP8" i="3"/>
  <c r="AU35" i="8"/>
  <c r="AP12" i="3"/>
  <c r="AU39" i="8"/>
  <c r="AP9" i="3"/>
  <c r="AU36" i="8"/>
  <c r="AP13" i="3"/>
  <c r="AU40" i="8"/>
  <c r="AO13" i="8"/>
  <c r="AP5" i="3"/>
  <c r="AU32" i="8"/>
  <c r="AP6" i="3"/>
  <c r="AU33" i="8"/>
  <c r="AP14" i="3"/>
  <c r="AO14" i="8"/>
  <c r="AP14" i="8" s="1"/>
  <c r="AU41" i="8"/>
  <c r="AR37" i="3"/>
  <c r="AR39" i="3"/>
  <c r="AR33" i="3"/>
  <c r="AR35" i="3"/>
  <c r="BC56" i="3"/>
  <c r="BJ16" i="3"/>
  <c r="BC59" i="3"/>
  <c r="AI61" i="3"/>
  <c r="AI59" i="3"/>
  <c r="AR34" i="3"/>
  <c r="AR38" i="3"/>
  <c r="AR41" i="3"/>
  <c r="AR32" i="3"/>
  <c r="AR36" i="3"/>
  <c r="AR40" i="3"/>
  <c r="AI56" i="3"/>
  <c r="AP16" i="3" l="1"/>
  <c r="BF13" i="8"/>
  <c r="BF5" i="8"/>
  <c r="BH14" i="8"/>
  <c r="BG14" i="8"/>
  <c r="BF10" i="8"/>
  <c r="BF6" i="8"/>
  <c r="AQ16" i="3"/>
  <c r="E15" i="16" s="1"/>
  <c r="AP13" i="8"/>
  <c r="AP5" i="8"/>
  <c r="AR14" i="8"/>
  <c r="AQ14" i="8"/>
  <c r="AP10" i="8"/>
  <c r="AP6" i="8"/>
  <c r="BC14" i="6"/>
  <c r="BC13" i="6"/>
  <c r="BC12" i="6"/>
  <c r="BC11" i="6"/>
  <c r="BC10" i="6"/>
  <c r="BC9" i="6"/>
  <c r="BC8" i="6"/>
  <c r="BC7" i="6"/>
  <c r="BC6" i="6"/>
  <c r="BC5" i="6"/>
  <c r="AL14" i="6"/>
  <c r="AL13" i="6"/>
  <c r="AL12" i="6"/>
  <c r="AL11" i="6"/>
  <c r="AL10" i="6"/>
  <c r="AL9" i="6"/>
  <c r="AL8" i="6"/>
  <c r="AL7" i="6"/>
  <c r="AL6" i="6"/>
  <c r="AL5" i="6"/>
  <c r="U14" i="6"/>
  <c r="U13" i="6"/>
  <c r="U12" i="6"/>
  <c r="U11" i="6"/>
  <c r="U10" i="6"/>
  <c r="U9" i="6"/>
  <c r="U8" i="6"/>
  <c r="U7" i="6"/>
  <c r="U6" i="6"/>
  <c r="U5" i="6"/>
  <c r="D6" i="6"/>
  <c r="D7" i="6"/>
  <c r="D8" i="6"/>
  <c r="D9" i="6"/>
  <c r="D10" i="6"/>
  <c r="D11" i="6"/>
  <c r="D12" i="6"/>
  <c r="D13" i="6"/>
  <c r="D14" i="6"/>
  <c r="D5" i="6"/>
  <c r="BH10" i="8" l="1"/>
  <c r="BG10" i="8"/>
  <c r="BH5" i="8"/>
  <c r="BG5" i="8"/>
  <c r="BG6" i="8"/>
  <c r="BH6" i="8"/>
  <c r="BH13" i="8"/>
  <c r="BG13" i="8"/>
  <c r="AR13" i="8"/>
  <c r="AQ13" i="8"/>
  <c r="AQ6" i="8"/>
  <c r="AR6" i="8"/>
  <c r="AQ10" i="8"/>
  <c r="AR10" i="8"/>
  <c r="AQ5" i="8"/>
  <c r="AR5" i="8"/>
  <c r="CC41" i="10"/>
  <c r="CD41" i="10" s="1"/>
  <c r="CB41" i="10"/>
  <c r="CC40" i="10"/>
  <c r="CD40" i="10" s="1"/>
  <c r="CB40" i="10"/>
  <c r="CC39" i="10"/>
  <c r="CD39" i="10" s="1"/>
  <c r="CB39" i="10"/>
  <c r="CC38" i="10"/>
  <c r="CD38" i="10" s="1"/>
  <c r="CB38" i="10"/>
  <c r="CC37" i="10"/>
  <c r="CD37" i="10" s="1"/>
  <c r="CB37" i="10"/>
  <c r="CD36" i="10"/>
  <c r="CC36" i="10"/>
  <c r="CB36" i="10"/>
  <c r="CC35" i="10"/>
  <c r="CD35" i="10" s="1"/>
  <c r="CB35" i="10"/>
  <c r="CC34" i="10"/>
  <c r="CD34" i="10" s="1"/>
  <c r="CB34" i="10"/>
  <c r="CC33" i="10"/>
  <c r="CD33" i="10" s="1"/>
  <c r="CB33" i="10"/>
  <c r="CC32" i="10"/>
  <c r="CD32" i="10" s="1"/>
  <c r="CB32" i="10"/>
  <c r="BI6" i="4"/>
  <c r="BI7" i="4"/>
  <c r="BI8" i="4"/>
  <c r="BI9" i="4"/>
  <c r="BI10" i="4"/>
  <c r="BI11" i="4"/>
  <c r="BI12" i="4"/>
  <c r="BI13" i="4"/>
  <c r="BI14" i="4"/>
  <c r="BI5" i="4"/>
  <c r="CB30" i="10" l="1"/>
  <c r="E14" i="12"/>
  <c r="T55" i="3" l="1"/>
  <c r="T58" i="3" s="1"/>
  <c r="T61" i="3" s="1"/>
  <c r="T54" i="3"/>
  <c r="X52" i="3"/>
  <c r="W52" i="3"/>
  <c r="V52" i="3"/>
  <c r="U52" i="3"/>
  <c r="T52" i="3"/>
  <c r="S52" i="3"/>
  <c r="R52" i="3"/>
  <c r="X51" i="3"/>
  <c r="W51" i="3"/>
  <c r="V51" i="3"/>
  <c r="U51" i="3"/>
  <c r="T51" i="3"/>
  <c r="S51" i="3"/>
  <c r="R51" i="3"/>
  <c r="X50" i="3"/>
  <c r="W50" i="3"/>
  <c r="V50" i="3"/>
  <c r="U50" i="3"/>
  <c r="T50" i="3"/>
  <c r="S50" i="3"/>
  <c r="R50" i="3"/>
  <c r="X49" i="3"/>
  <c r="W49" i="3"/>
  <c r="V49" i="3"/>
  <c r="U49" i="3"/>
  <c r="T49" i="3"/>
  <c r="S49" i="3"/>
  <c r="R49" i="3"/>
  <c r="X48" i="3"/>
  <c r="W48" i="3"/>
  <c r="V48" i="3"/>
  <c r="U48" i="3"/>
  <c r="T48" i="3"/>
  <c r="S48" i="3"/>
  <c r="R48" i="3"/>
  <c r="X47" i="3"/>
  <c r="W47" i="3"/>
  <c r="V47" i="3"/>
  <c r="U47" i="3"/>
  <c r="T47" i="3"/>
  <c r="S47" i="3"/>
  <c r="R47" i="3"/>
  <c r="X46" i="3"/>
  <c r="W46" i="3"/>
  <c r="V46" i="3"/>
  <c r="U46" i="3"/>
  <c r="T46" i="3"/>
  <c r="S46" i="3"/>
  <c r="R46" i="3"/>
  <c r="X45" i="3"/>
  <c r="W45" i="3"/>
  <c r="V45" i="3"/>
  <c r="U45" i="3"/>
  <c r="T45" i="3"/>
  <c r="S45" i="3"/>
  <c r="R45" i="3"/>
  <c r="X44" i="3"/>
  <c r="W44" i="3"/>
  <c r="V44" i="3"/>
  <c r="U44" i="3"/>
  <c r="T44" i="3"/>
  <c r="S44" i="3"/>
  <c r="R44" i="3"/>
  <c r="X43" i="3"/>
  <c r="W43" i="3"/>
  <c r="V43" i="3"/>
  <c r="U43" i="3"/>
  <c r="T43" i="3"/>
  <c r="S43" i="3"/>
  <c r="R43" i="3"/>
  <c r="AC41" i="3"/>
  <c r="AA41" i="3"/>
  <c r="AA14" i="3" s="1"/>
  <c r="AD40" i="3"/>
  <c r="AA40" i="3"/>
  <c r="AA13" i="3" s="1"/>
  <c r="AD39" i="3"/>
  <c r="AA39" i="3"/>
  <c r="AA12" i="3" s="1"/>
  <c r="AD38" i="3"/>
  <c r="AA38" i="3"/>
  <c r="AA11" i="3" s="1"/>
  <c r="AD37" i="3"/>
  <c r="AA37" i="3"/>
  <c r="AA10" i="3" s="1"/>
  <c r="AD36" i="3"/>
  <c r="AA36" i="3"/>
  <c r="AA9" i="3" s="1"/>
  <c r="AC35" i="3"/>
  <c r="AA35" i="3"/>
  <c r="AA8" i="3" s="1"/>
  <c r="AC34" i="3"/>
  <c r="AA34" i="3"/>
  <c r="AA7" i="3" s="1"/>
  <c r="AD33" i="3"/>
  <c r="AA33" i="3"/>
  <c r="AA6" i="3" s="1"/>
  <c r="AD32" i="3"/>
  <c r="AA32" i="3"/>
  <c r="AA5" i="3" s="1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X14" i="3"/>
  <c r="W14" i="3"/>
  <c r="S14" i="3"/>
  <c r="X13" i="3"/>
  <c r="W13" i="3"/>
  <c r="S13" i="3"/>
  <c r="X12" i="3"/>
  <c r="W12" i="3"/>
  <c r="S12" i="3"/>
  <c r="X11" i="3"/>
  <c r="W11" i="3"/>
  <c r="S11" i="3"/>
  <c r="X10" i="3"/>
  <c r="W10" i="3"/>
  <c r="S10" i="3"/>
  <c r="X9" i="3"/>
  <c r="W9" i="3"/>
  <c r="S9" i="3"/>
  <c r="X8" i="3"/>
  <c r="W8" i="3"/>
  <c r="S8" i="3"/>
  <c r="X7" i="3"/>
  <c r="W7" i="3"/>
  <c r="S7" i="3"/>
  <c r="X6" i="3"/>
  <c r="W6" i="3"/>
  <c r="S6" i="3"/>
  <c r="X5" i="3"/>
  <c r="W5" i="3"/>
  <c r="S5" i="3"/>
  <c r="X3" i="3"/>
  <c r="W3" i="3"/>
  <c r="AB16" i="3" l="1"/>
  <c r="AC32" i="3"/>
  <c r="AC36" i="3"/>
  <c r="AD35" i="3"/>
  <c r="AD41" i="3"/>
  <c r="AD34" i="3"/>
  <c r="AC39" i="3"/>
  <c r="AA16" i="3"/>
  <c r="AC38" i="3"/>
  <c r="T56" i="3"/>
  <c r="AC33" i="3"/>
  <c r="AC37" i="3"/>
  <c r="AC40" i="3"/>
  <c r="T59" i="3"/>
  <c r="BD55" i="6" l="1"/>
  <c r="BD58" i="6" s="1"/>
  <c r="BD54" i="6"/>
  <c r="BH52" i="6"/>
  <c r="BG52" i="6"/>
  <c r="BF52" i="6"/>
  <c r="BE52" i="6"/>
  <c r="BD52" i="6"/>
  <c r="BC52" i="6"/>
  <c r="BB52" i="6"/>
  <c r="BH51" i="6"/>
  <c r="BG51" i="6"/>
  <c r="BF51" i="6"/>
  <c r="BE51" i="6"/>
  <c r="BD51" i="6"/>
  <c r="BC51" i="6"/>
  <c r="BB51" i="6"/>
  <c r="BH50" i="6"/>
  <c r="BG50" i="6"/>
  <c r="BF50" i="6"/>
  <c r="BE50" i="6"/>
  <c r="BD50" i="6"/>
  <c r="BC50" i="6"/>
  <c r="BB50" i="6"/>
  <c r="BH49" i="6"/>
  <c r="BG49" i="6"/>
  <c r="BF49" i="6"/>
  <c r="BE49" i="6"/>
  <c r="BD49" i="6"/>
  <c r="BC49" i="6"/>
  <c r="BB49" i="6"/>
  <c r="BH48" i="6"/>
  <c r="BG48" i="6"/>
  <c r="BF48" i="6"/>
  <c r="BE48" i="6"/>
  <c r="BD48" i="6"/>
  <c r="BC48" i="6"/>
  <c r="BB48" i="6"/>
  <c r="BH47" i="6"/>
  <c r="BG47" i="6"/>
  <c r="BF47" i="6"/>
  <c r="BE47" i="6"/>
  <c r="BD47" i="6"/>
  <c r="BC47" i="6"/>
  <c r="BB47" i="6"/>
  <c r="BH46" i="6"/>
  <c r="BG46" i="6"/>
  <c r="BF46" i="6"/>
  <c r="BE46" i="6"/>
  <c r="BD46" i="6"/>
  <c r="BC46" i="6"/>
  <c r="BB46" i="6"/>
  <c r="BH45" i="6"/>
  <c r="BG45" i="6"/>
  <c r="BF45" i="6"/>
  <c r="BE45" i="6"/>
  <c r="BD45" i="6"/>
  <c r="BC45" i="6"/>
  <c r="BB45" i="6"/>
  <c r="BH44" i="6"/>
  <c r="BG44" i="6"/>
  <c r="BF44" i="6"/>
  <c r="BE44" i="6"/>
  <c r="BD44" i="6"/>
  <c r="BC44" i="6"/>
  <c r="BB44" i="6"/>
  <c r="BH43" i="6"/>
  <c r="BG43" i="6"/>
  <c r="BF43" i="6"/>
  <c r="BE43" i="6"/>
  <c r="BD43" i="6"/>
  <c r="BC43" i="6"/>
  <c r="BB43" i="6"/>
  <c r="BJ14" i="6"/>
  <c r="BI14" i="6"/>
  <c r="BH14" i="6"/>
  <c r="BG14" i="6"/>
  <c r="BJ13" i="6"/>
  <c r="BI13" i="6"/>
  <c r="BH13" i="6"/>
  <c r="BG13" i="6"/>
  <c r="BJ12" i="6"/>
  <c r="BI12" i="6"/>
  <c r="BH12" i="6"/>
  <c r="BG12" i="6"/>
  <c r="BJ11" i="6"/>
  <c r="BI11" i="6"/>
  <c r="BH11" i="6"/>
  <c r="BG11" i="6"/>
  <c r="BJ10" i="6"/>
  <c r="BI10" i="6"/>
  <c r="BH10" i="6"/>
  <c r="BG10" i="6"/>
  <c r="BJ9" i="6"/>
  <c r="BI9" i="6"/>
  <c r="BH9" i="6"/>
  <c r="BG9" i="6"/>
  <c r="BJ8" i="6"/>
  <c r="BI8" i="6"/>
  <c r="BH8" i="6"/>
  <c r="BG8" i="6"/>
  <c r="BJ7" i="6"/>
  <c r="BI7" i="6"/>
  <c r="BH7" i="6"/>
  <c r="BG7" i="6"/>
  <c r="BJ6" i="6"/>
  <c r="BI6" i="6"/>
  <c r="BH6" i="6"/>
  <c r="BG6" i="6"/>
  <c r="BJ5" i="6"/>
  <c r="BI5" i="6"/>
  <c r="BH5" i="6"/>
  <c r="BG5" i="6"/>
  <c r="BJ3" i="6"/>
  <c r="BI3" i="6"/>
  <c r="BH3" i="6"/>
  <c r="BG3" i="6"/>
  <c r="AV7" i="6"/>
  <c r="AV8" i="6"/>
  <c r="AV9" i="6"/>
  <c r="AV10" i="6"/>
  <c r="AV11" i="6"/>
  <c r="AV12" i="6"/>
  <c r="AV13" i="6"/>
  <c r="AV14" i="6"/>
  <c r="AV15" i="6"/>
  <c r="AV16" i="6"/>
  <c r="AV6" i="6"/>
  <c r="BD59" i="6" l="1"/>
  <c r="BD56" i="6"/>
  <c r="AY13" i="6" l="1"/>
  <c r="AY14" i="6"/>
  <c r="AY6" i="6"/>
  <c r="AM55" i="6"/>
  <c r="AM54" i="6"/>
  <c r="AQ52" i="6"/>
  <c r="AP52" i="6"/>
  <c r="AO52" i="6"/>
  <c r="AN52" i="6"/>
  <c r="AM52" i="6"/>
  <c r="AL52" i="6"/>
  <c r="AK52" i="6"/>
  <c r="AQ51" i="6"/>
  <c r="AP51" i="6"/>
  <c r="AO51" i="6"/>
  <c r="AN51" i="6"/>
  <c r="AM51" i="6"/>
  <c r="AL51" i="6"/>
  <c r="AK51" i="6"/>
  <c r="AQ50" i="6"/>
  <c r="AP50" i="6"/>
  <c r="AO50" i="6"/>
  <c r="AN50" i="6"/>
  <c r="AM50" i="6"/>
  <c r="AL50" i="6"/>
  <c r="AK50" i="6"/>
  <c r="AQ49" i="6"/>
  <c r="AP49" i="6"/>
  <c r="AO49" i="6"/>
  <c r="AN49" i="6"/>
  <c r="AM49" i="6"/>
  <c r="AL49" i="6"/>
  <c r="AK49" i="6"/>
  <c r="AQ48" i="6"/>
  <c r="AP48" i="6"/>
  <c r="AO48" i="6"/>
  <c r="AN48" i="6"/>
  <c r="AM48" i="6"/>
  <c r="AL48" i="6"/>
  <c r="AK48" i="6"/>
  <c r="AQ47" i="6"/>
  <c r="AP47" i="6"/>
  <c r="AO47" i="6"/>
  <c r="AN47" i="6"/>
  <c r="AM47" i="6"/>
  <c r="AL47" i="6"/>
  <c r="AK47" i="6"/>
  <c r="AQ46" i="6"/>
  <c r="AP46" i="6"/>
  <c r="AO46" i="6"/>
  <c r="AN46" i="6"/>
  <c r="AM46" i="6"/>
  <c r="AL46" i="6"/>
  <c r="AK46" i="6"/>
  <c r="AQ45" i="6"/>
  <c r="AP45" i="6"/>
  <c r="AO45" i="6"/>
  <c r="AN45" i="6"/>
  <c r="AM45" i="6"/>
  <c r="AL45" i="6"/>
  <c r="AK45" i="6"/>
  <c r="AQ44" i="6"/>
  <c r="AP44" i="6"/>
  <c r="AO44" i="6"/>
  <c r="AN44" i="6"/>
  <c r="AM44" i="6"/>
  <c r="AL44" i="6"/>
  <c r="AK44" i="6"/>
  <c r="AQ43" i="6"/>
  <c r="AP43" i="6"/>
  <c r="AO43" i="6"/>
  <c r="AN43" i="6"/>
  <c r="AM43" i="6"/>
  <c r="AL43" i="6"/>
  <c r="AK43" i="6"/>
  <c r="AY16" i="6"/>
  <c r="AY15" i="6"/>
  <c r="AS14" i="6"/>
  <c r="AR14" i="6"/>
  <c r="AQ14" i="6"/>
  <c r="AP14" i="6"/>
  <c r="AS13" i="6"/>
  <c r="AR13" i="6"/>
  <c r="AQ13" i="6"/>
  <c r="AP13" i="6"/>
  <c r="AY12" i="6"/>
  <c r="AS12" i="6"/>
  <c r="AR12" i="6"/>
  <c r="AQ12" i="6"/>
  <c r="AP12" i="6"/>
  <c r="AY11" i="6"/>
  <c r="AS11" i="6"/>
  <c r="AR11" i="6"/>
  <c r="AQ11" i="6"/>
  <c r="AP11" i="6"/>
  <c r="AY10" i="6"/>
  <c r="AS10" i="6"/>
  <c r="AR10" i="6"/>
  <c r="AQ10" i="6"/>
  <c r="AP10" i="6"/>
  <c r="AY9" i="6"/>
  <c r="AS9" i="6"/>
  <c r="AR9" i="6"/>
  <c r="AQ9" i="6"/>
  <c r="AP9" i="6"/>
  <c r="AY8" i="6"/>
  <c r="AS8" i="6"/>
  <c r="AR8" i="6"/>
  <c r="AQ8" i="6"/>
  <c r="AP8" i="6"/>
  <c r="AY7" i="6"/>
  <c r="AS7" i="6"/>
  <c r="AR7" i="6"/>
  <c r="AQ7" i="6"/>
  <c r="AP7" i="6"/>
  <c r="AS6" i="6"/>
  <c r="AR6" i="6"/>
  <c r="AQ6" i="6"/>
  <c r="AP6" i="6"/>
  <c r="AS5" i="6"/>
  <c r="AR5" i="6"/>
  <c r="AQ5" i="6"/>
  <c r="AP5" i="6"/>
  <c r="AS3" i="6"/>
  <c r="AR3" i="6"/>
  <c r="AQ3" i="6"/>
  <c r="AP3" i="6"/>
  <c r="AM56" i="6" l="1"/>
  <c r="AM58" i="6"/>
  <c r="AM59" i="6" s="1"/>
  <c r="AT10" i="6"/>
  <c r="AV37" i="6" s="1"/>
  <c r="AT12" i="6"/>
  <c r="AV39" i="6" s="1"/>
  <c r="AU6" i="6"/>
  <c r="AT6" i="6"/>
  <c r="AV33" i="6" s="1"/>
  <c r="AT5" i="6"/>
  <c r="AV32" i="6" s="1"/>
  <c r="AU5" i="6"/>
  <c r="AT13" i="6"/>
  <c r="AV40" i="6" s="1"/>
  <c r="AT11" i="6"/>
  <c r="AV38" i="6" s="1"/>
  <c r="AT8" i="6"/>
  <c r="AV35" i="6" s="1"/>
  <c r="AT7" i="6"/>
  <c r="AT14" i="6"/>
  <c r="AV41" i="6" s="1"/>
  <c r="AT9" i="6"/>
  <c r="AV36" i="6" s="1"/>
  <c r="AB14" i="6"/>
  <c r="AA14" i="6"/>
  <c r="Z14" i="6"/>
  <c r="AB13" i="6"/>
  <c r="AA13" i="6"/>
  <c r="Z13" i="6"/>
  <c r="AB12" i="6"/>
  <c r="AA12" i="6"/>
  <c r="Z12" i="6"/>
  <c r="AB11" i="6"/>
  <c r="AA11" i="6"/>
  <c r="Z11" i="6"/>
  <c r="AB10" i="6"/>
  <c r="AA10" i="6"/>
  <c r="Z10" i="6"/>
  <c r="AB9" i="6"/>
  <c r="AA9" i="6"/>
  <c r="Z9" i="6"/>
  <c r="AB8" i="6"/>
  <c r="AA8" i="6"/>
  <c r="Z8" i="6"/>
  <c r="AB7" i="6"/>
  <c r="AA7" i="6"/>
  <c r="Z7" i="6"/>
  <c r="AB6" i="6"/>
  <c r="AA6" i="6"/>
  <c r="Z6" i="6"/>
  <c r="AB5" i="6"/>
  <c r="AA5" i="6"/>
  <c r="Z5" i="6"/>
  <c r="AB3" i="6"/>
  <c r="AA3" i="6"/>
  <c r="Z3" i="6"/>
  <c r="Y14" i="6"/>
  <c r="Y13" i="6"/>
  <c r="Y12" i="6"/>
  <c r="Y11" i="6"/>
  <c r="Y10" i="6"/>
  <c r="Y9" i="6"/>
  <c r="Y8" i="6"/>
  <c r="Y7" i="6"/>
  <c r="Y6" i="6"/>
  <c r="Y5" i="6"/>
  <c r="Y3" i="6"/>
  <c r="H3" i="6"/>
  <c r="I3" i="6"/>
  <c r="I6" i="6"/>
  <c r="I7" i="6"/>
  <c r="I8" i="6"/>
  <c r="I9" i="6"/>
  <c r="I10" i="6"/>
  <c r="I11" i="6"/>
  <c r="I12" i="6"/>
  <c r="I13" i="6"/>
  <c r="I14" i="6"/>
  <c r="I5" i="6"/>
  <c r="H6" i="6"/>
  <c r="H7" i="6"/>
  <c r="H8" i="6"/>
  <c r="H9" i="6"/>
  <c r="H10" i="6"/>
  <c r="H11" i="6"/>
  <c r="H12" i="6"/>
  <c r="H13" i="6"/>
  <c r="H14" i="6"/>
  <c r="H5" i="6"/>
  <c r="AE7" i="6"/>
  <c r="BM7" i="6" s="1"/>
  <c r="BP7" i="6" s="1"/>
  <c r="AE8" i="6"/>
  <c r="BM8" i="6" s="1"/>
  <c r="BP8" i="6" s="1"/>
  <c r="AE9" i="6"/>
  <c r="BM9" i="6" s="1"/>
  <c r="BP9" i="6" s="1"/>
  <c r="AE10" i="6"/>
  <c r="BM10" i="6" s="1"/>
  <c r="BP10" i="6" s="1"/>
  <c r="AE11" i="6"/>
  <c r="BM11" i="6" s="1"/>
  <c r="BP11" i="6" s="1"/>
  <c r="AE12" i="6"/>
  <c r="AE13" i="6"/>
  <c r="AE14" i="6"/>
  <c r="AE15" i="6"/>
  <c r="BM15" i="6" s="1"/>
  <c r="BP15" i="6" s="1"/>
  <c r="AE16" i="6"/>
  <c r="BM16" i="6" s="1"/>
  <c r="BP16" i="6" s="1"/>
  <c r="AE6" i="6"/>
  <c r="BM6" i="6" s="1"/>
  <c r="BP6" i="6" s="1"/>
  <c r="V55" i="6"/>
  <c r="V58" i="6" s="1"/>
  <c r="V54" i="6"/>
  <c r="Z52" i="6"/>
  <c r="Y52" i="6"/>
  <c r="X52" i="6"/>
  <c r="W52" i="6"/>
  <c r="V52" i="6"/>
  <c r="U52" i="6"/>
  <c r="T52" i="6"/>
  <c r="Z51" i="6"/>
  <c r="Y51" i="6"/>
  <c r="X51" i="6"/>
  <c r="W51" i="6"/>
  <c r="V51" i="6"/>
  <c r="U51" i="6"/>
  <c r="T51" i="6"/>
  <c r="Z50" i="6"/>
  <c r="Y50" i="6"/>
  <c r="X50" i="6"/>
  <c r="W50" i="6"/>
  <c r="V50" i="6"/>
  <c r="U50" i="6"/>
  <c r="T50" i="6"/>
  <c r="Z49" i="6"/>
  <c r="Y49" i="6"/>
  <c r="X49" i="6"/>
  <c r="W49" i="6"/>
  <c r="V49" i="6"/>
  <c r="U49" i="6"/>
  <c r="T49" i="6"/>
  <c r="Z48" i="6"/>
  <c r="Y48" i="6"/>
  <c r="X48" i="6"/>
  <c r="W48" i="6"/>
  <c r="V48" i="6"/>
  <c r="U48" i="6"/>
  <c r="T48" i="6"/>
  <c r="Z47" i="6"/>
  <c r="Y47" i="6"/>
  <c r="X47" i="6"/>
  <c r="W47" i="6"/>
  <c r="V47" i="6"/>
  <c r="U47" i="6"/>
  <c r="T47" i="6"/>
  <c r="Z46" i="6"/>
  <c r="Y46" i="6"/>
  <c r="X46" i="6"/>
  <c r="W46" i="6"/>
  <c r="V46" i="6"/>
  <c r="U46" i="6"/>
  <c r="T46" i="6"/>
  <c r="Z45" i="6"/>
  <c r="Y45" i="6"/>
  <c r="X45" i="6"/>
  <c r="W45" i="6"/>
  <c r="V45" i="6"/>
  <c r="U45" i="6"/>
  <c r="T45" i="6"/>
  <c r="Z44" i="6"/>
  <c r="Y44" i="6"/>
  <c r="X44" i="6"/>
  <c r="W44" i="6"/>
  <c r="V44" i="6"/>
  <c r="U44" i="6"/>
  <c r="T44" i="6"/>
  <c r="Z43" i="6"/>
  <c r="Y43" i="6"/>
  <c r="X43" i="6"/>
  <c r="W43" i="6"/>
  <c r="V43" i="6"/>
  <c r="U43" i="6"/>
  <c r="T43" i="6"/>
  <c r="AH10" i="6"/>
  <c r="AH9" i="6"/>
  <c r="AH7" i="6"/>
  <c r="AH6" i="6"/>
  <c r="Q7" i="6"/>
  <c r="Q8" i="6"/>
  <c r="Q9" i="6"/>
  <c r="Q10" i="6"/>
  <c r="Q11" i="6"/>
  <c r="Q12" i="6"/>
  <c r="Q13" i="6"/>
  <c r="Q14" i="6"/>
  <c r="Q15" i="6"/>
  <c r="Q16" i="6"/>
  <c r="Q6" i="6"/>
  <c r="E55" i="6"/>
  <c r="E58" i="6" s="1"/>
  <c r="E54" i="6"/>
  <c r="I52" i="6"/>
  <c r="H52" i="6"/>
  <c r="G52" i="6"/>
  <c r="F52" i="6"/>
  <c r="E52" i="6"/>
  <c r="D52" i="6"/>
  <c r="C52" i="6"/>
  <c r="I51" i="6"/>
  <c r="H51" i="6"/>
  <c r="G51" i="6"/>
  <c r="F51" i="6"/>
  <c r="E51" i="6"/>
  <c r="D51" i="6"/>
  <c r="C51" i="6"/>
  <c r="I50" i="6"/>
  <c r="H50" i="6"/>
  <c r="G50" i="6"/>
  <c r="F50" i="6"/>
  <c r="E50" i="6"/>
  <c r="D50" i="6"/>
  <c r="C50" i="6"/>
  <c r="I49" i="6"/>
  <c r="H49" i="6"/>
  <c r="G49" i="6"/>
  <c r="F49" i="6"/>
  <c r="E49" i="6"/>
  <c r="D49" i="6"/>
  <c r="C49" i="6"/>
  <c r="I48" i="6"/>
  <c r="H48" i="6"/>
  <c r="G48" i="6"/>
  <c r="F48" i="6"/>
  <c r="E48" i="6"/>
  <c r="D48" i="6"/>
  <c r="C48" i="6"/>
  <c r="I47" i="6"/>
  <c r="H47" i="6"/>
  <c r="G47" i="6"/>
  <c r="F47" i="6"/>
  <c r="E47" i="6"/>
  <c r="D47" i="6"/>
  <c r="C47" i="6"/>
  <c r="I46" i="6"/>
  <c r="H46" i="6"/>
  <c r="G46" i="6"/>
  <c r="F46" i="6"/>
  <c r="E46" i="6"/>
  <c r="D46" i="6"/>
  <c r="C46" i="6"/>
  <c r="I45" i="6"/>
  <c r="H45" i="6"/>
  <c r="G45" i="6"/>
  <c r="F45" i="6"/>
  <c r="E45" i="6"/>
  <c r="D45" i="6"/>
  <c r="C45" i="6"/>
  <c r="I44" i="6"/>
  <c r="H44" i="6"/>
  <c r="G44" i="6"/>
  <c r="F44" i="6"/>
  <c r="E44" i="6"/>
  <c r="D44" i="6"/>
  <c r="C44" i="6"/>
  <c r="I43" i="6"/>
  <c r="H43" i="6"/>
  <c r="G43" i="6"/>
  <c r="F43" i="6"/>
  <c r="E43" i="6"/>
  <c r="D43" i="6"/>
  <c r="C43" i="6"/>
  <c r="L41" i="6"/>
  <c r="L40" i="6"/>
  <c r="L39" i="6"/>
  <c r="L38" i="6"/>
  <c r="L37" i="6"/>
  <c r="L36" i="6"/>
  <c r="L35" i="6"/>
  <c r="L34" i="6"/>
  <c r="L33" i="6"/>
  <c r="L32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3" i="6"/>
  <c r="J3" i="6"/>
  <c r="T55" i="8"/>
  <c r="T58" i="8" s="1"/>
  <c r="T54" i="8"/>
  <c r="X52" i="8"/>
  <c r="W52" i="8"/>
  <c r="V52" i="8"/>
  <c r="U52" i="8"/>
  <c r="T52" i="8"/>
  <c r="S52" i="8"/>
  <c r="R52" i="8"/>
  <c r="X51" i="8"/>
  <c r="W51" i="8"/>
  <c r="V51" i="8"/>
  <c r="U51" i="8"/>
  <c r="T51" i="8"/>
  <c r="S51" i="8"/>
  <c r="R51" i="8"/>
  <c r="X50" i="8"/>
  <c r="W50" i="8"/>
  <c r="V50" i="8"/>
  <c r="U50" i="8"/>
  <c r="T50" i="8"/>
  <c r="S50" i="8"/>
  <c r="R50" i="8"/>
  <c r="X49" i="8"/>
  <c r="W49" i="8"/>
  <c r="V49" i="8"/>
  <c r="U49" i="8"/>
  <c r="T49" i="8"/>
  <c r="S49" i="8"/>
  <c r="R49" i="8"/>
  <c r="X48" i="8"/>
  <c r="W48" i="8"/>
  <c r="V48" i="8"/>
  <c r="U48" i="8"/>
  <c r="T48" i="8"/>
  <c r="S48" i="8"/>
  <c r="R48" i="8"/>
  <c r="X47" i="8"/>
  <c r="W47" i="8"/>
  <c r="V47" i="8"/>
  <c r="U47" i="8"/>
  <c r="T47" i="8"/>
  <c r="S47" i="8"/>
  <c r="R47" i="8"/>
  <c r="X46" i="8"/>
  <c r="W46" i="8"/>
  <c r="V46" i="8"/>
  <c r="U46" i="8"/>
  <c r="T46" i="8"/>
  <c r="S46" i="8"/>
  <c r="R46" i="8"/>
  <c r="X45" i="8"/>
  <c r="W45" i="8"/>
  <c r="V45" i="8"/>
  <c r="U45" i="8"/>
  <c r="T45" i="8"/>
  <c r="S45" i="8"/>
  <c r="R45" i="8"/>
  <c r="X44" i="8"/>
  <c r="W44" i="8"/>
  <c r="V44" i="8"/>
  <c r="U44" i="8"/>
  <c r="T44" i="8"/>
  <c r="S44" i="8"/>
  <c r="R44" i="8"/>
  <c r="X43" i="8"/>
  <c r="W43" i="8"/>
  <c r="V43" i="8"/>
  <c r="U43" i="8"/>
  <c r="T43" i="8"/>
  <c r="S43" i="8"/>
  <c r="R43" i="8"/>
  <c r="AD41" i="8"/>
  <c r="AC41" i="8"/>
  <c r="AA41" i="8"/>
  <c r="AD40" i="8"/>
  <c r="AC40" i="8"/>
  <c r="AA40" i="8"/>
  <c r="AD39" i="8"/>
  <c r="AE39" i="8" s="1"/>
  <c r="AC39" i="8"/>
  <c r="AA39" i="8"/>
  <c r="AD38" i="8"/>
  <c r="AE38" i="8" s="1"/>
  <c r="AC38" i="8"/>
  <c r="AA38" i="8"/>
  <c r="AD37" i="8"/>
  <c r="AC37" i="8"/>
  <c r="AA37" i="8"/>
  <c r="AD36" i="8"/>
  <c r="AE36" i="8" s="1"/>
  <c r="AC36" i="8"/>
  <c r="AA36" i="8"/>
  <c r="AD35" i="8"/>
  <c r="AE35" i="8" s="1"/>
  <c r="AC35" i="8"/>
  <c r="AA35" i="8"/>
  <c r="AD34" i="8"/>
  <c r="AE34" i="8" s="1"/>
  <c r="AC34" i="8"/>
  <c r="AA34" i="8"/>
  <c r="AD33" i="8"/>
  <c r="AE33" i="8" s="1"/>
  <c r="AC33" i="8"/>
  <c r="AA33" i="8"/>
  <c r="AD32" i="8"/>
  <c r="AE32" i="8" s="1"/>
  <c r="AC32" i="8"/>
  <c r="AA32" i="8"/>
  <c r="S14" i="8"/>
  <c r="S13" i="8"/>
  <c r="S12" i="8"/>
  <c r="S11" i="8"/>
  <c r="S10" i="8"/>
  <c r="S9" i="8"/>
  <c r="S8" i="8"/>
  <c r="S7" i="8"/>
  <c r="S6" i="8"/>
  <c r="S5" i="8"/>
  <c r="E55" i="8"/>
  <c r="E58" i="8" s="1"/>
  <c r="E54" i="8"/>
  <c r="I52" i="8"/>
  <c r="H52" i="8"/>
  <c r="G52" i="8"/>
  <c r="F52" i="8"/>
  <c r="E52" i="8"/>
  <c r="D52" i="8"/>
  <c r="C52" i="8"/>
  <c r="I51" i="8"/>
  <c r="H51" i="8"/>
  <c r="G51" i="8"/>
  <c r="F51" i="8"/>
  <c r="E51" i="8"/>
  <c r="D51" i="8"/>
  <c r="C51" i="8"/>
  <c r="I50" i="8"/>
  <c r="H50" i="8"/>
  <c r="G50" i="8"/>
  <c r="F50" i="8"/>
  <c r="E50" i="8"/>
  <c r="D50" i="8"/>
  <c r="C50" i="8"/>
  <c r="I49" i="8"/>
  <c r="H49" i="8"/>
  <c r="G49" i="8"/>
  <c r="F49" i="8"/>
  <c r="E49" i="8"/>
  <c r="D49" i="8"/>
  <c r="C49" i="8"/>
  <c r="I48" i="8"/>
  <c r="H48" i="8"/>
  <c r="G48" i="8"/>
  <c r="F48" i="8"/>
  <c r="E48" i="8"/>
  <c r="D48" i="8"/>
  <c r="C48" i="8"/>
  <c r="I47" i="8"/>
  <c r="H47" i="8"/>
  <c r="G47" i="8"/>
  <c r="F47" i="8"/>
  <c r="E47" i="8"/>
  <c r="D47" i="8"/>
  <c r="C47" i="8"/>
  <c r="I46" i="8"/>
  <c r="H46" i="8"/>
  <c r="G46" i="8"/>
  <c r="F46" i="8"/>
  <c r="E46" i="8"/>
  <c r="D46" i="8"/>
  <c r="C46" i="8"/>
  <c r="I45" i="8"/>
  <c r="H45" i="8"/>
  <c r="G45" i="8"/>
  <c r="F45" i="8"/>
  <c r="E45" i="8"/>
  <c r="D45" i="8"/>
  <c r="C45" i="8"/>
  <c r="I44" i="8"/>
  <c r="H44" i="8"/>
  <c r="G44" i="8"/>
  <c r="F44" i="8"/>
  <c r="E44" i="8"/>
  <c r="D44" i="8"/>
  <c r="C44" i="8"/>
  <c r="I43" i="8"/>
  <c r="H43" i="8"/>
  <c r="G43" i="8"/>
  <c r="F43" i="8"/>
  <c r="E43" i="8"/>
  <c r="D43" i="8"/>
  <c r="C43" i="8"/>
  <c r="N41" i="8"/>
  <c r="M41" i="8"/>
  <c r="L41" i="8"/>
  <c r="N40" i="8"/>
  <c r="M40" i="8"/>
  <c r="L40" i="8"/>
  <c r="N39" i="8"/>
  <c r="O39" i="8" s="1"/>
  <c r="M39" i="8"/>
  <c r="L39" i="8"/>
  <c r="N38" i="8"/>
  <c r="O38" i="8" s="1"/>
  <c r="M38" i="8"/>
  <c r="L38" i="8"/>
  <c r="N37" i="8"/>
  <c r="M37" i="8"/>
  <c r="L37" i="8"/>
  <c r="N36" i="8"/>
  <c r="O36" i="8" s="1"/>
  <c r="M36" i="8"/>
  <c r="L36" i="8"/>
  <c r="N35" i="8"/>
  <c r="O35" i="8" s="1"/>
  <c r="M35" i="8"/>
  <c r="L35" i="8"/>
  <c r="N34" i="8"/>
  <c r="O34" i="8" s="1"/>
  <c r="M34" i="8"/>
  <c r="L34" i="8"/>
  <c r="N33" i="8"/>
  <c r="O33" i="8" s="1"/>
  <c r="M33" i="8"/>
  <c r="L33" i="8"/>
  <c r="N32" i="8"/>
  <c r="O32" i="8" s="1"/>
  <c r="M32" i="8"/>
  <c r="L32" i="8"/>
  <c r="D14" i="8"/>
  <c r="D13" i="8"/>
  <c r="D12" i="8"/>
  <c r="D11" i="8"/>
  <c r="D10" i="8"/>
  <c r="D9" i="8"/>
  <c r="D8" i="8"/>
  <c r="D7" i="8"/>
  <c r="D6" i="8"/>
  <c r="D5" i="8"/>
  <c r="EA38" i="6" l="1"/>
  <c r="DJ38" i="6"/>
  <c r="DZ38" i="6"/>
  <c r="DI38" i="6"/>
  <c r="DZ36" i="6"/>
  <c r="DJ36" i="6"/>
  <c r="DI36" i="6"/>
  <c r="EA36" i="6"/>
  <c r="DJ39" i="6"/>
  <c r="DI39" i="6"/>
  <c r="DZ39" i="6"/>
  <c r="EA39" i="6"/>
  <c r="DZ37" i="6"/>
  <c r="DJ37" i="6"/>
  <c r="EA37" i="6"/>
  <c r="DI37" i="6"/>
  <c r="EA32" i="6"/>
  <c r="DZ32" i="6"/>
  <c r="DJ32" i="6"/>
  <c r="DI32" i="6"/>
  <c r="DI33" i="6"/>
  <c r="EA33" i="6"/>
  <c r="DJ33" i="6"/>
  <c r="DZ33" i="6"/>
  <c r="DI41" i="6"/>
  <c r="DZ41" i="6"/>
  <c r="DJ41" i="6"/>
  <c r="EA41" i="6"/>
  <c r="DJ40" i="6"/>
  <c r="EA40" i="6"/>
  <c r="DI40" i="6"/>
  <c r="DZ40" i="6"/>
  <c r="DZ34" i="6"/>
  <c r="DJ34" i="6"/>
  <c r="DI34" i="6"/>
  <c r="EA34" i="6"/>
  <c r="DJ35" i="6"/>
  <c r="EA35" i="6"/>
  <c r="DI35" i="6"/>
  <c r="DZ35" i="6"/>
  <c r="T59" i="8"/>
  <c r="CS38" i="6"/>
  <c r="CR38" i="6"/>
  <c r="CR37" i="6"/>
  <c r="CS37" i="6"/>
  <c r="CS39" i="6"/>
  <c r="CR39" i="6"/>
  <c r="CR34" i="6"/>
  <c r="CS34" i="6"/>
  <c r="CS33" i="6"/>
  <c r="CR33" i="6"/>
  <c r="AH11" i="6"/>
  <c r="AC12" i="6" s="1"/>
  <c r="AE39" i="6" s="1"/>
  <c r="CS35" i="6"/>
  <c r="CR35" i="6"/>
  <c r="CS32" i="6"/>
  <c r="CR32" i="6"/>
  <c r="CS40" i="6"/>
  <c r="CR40" i="6"/>
  <c r="CR41" i="6"/>
  <c r="CS41" i="6"/>
  <c r="CS36" i="6"/>
  <c r="CR36" i="6"/>
  <c r="CA38" i="6"/>
  <c r="BZ38" i="6"/>
  <c r="AS38" i="6"/>
  <c r="AB38" i="6"/>
  <c r="AR38" i="6"/>
  <c r="AA38" i="6"/>
  <c r="BI38" i="6"/>
  <c r="BJ38" i="6"/>
  <c r="K38" i="6"/>
  <c r="J38" i="6"/>
  <c r="BJ39" i="6"/>
  <c r="BI39" i="6"/>
  <c r="CA39" i="6"/>
  <c r="BZ39" i="6"/>
  <c r="AS39" i="6"/>
  <c r="AR39" i="6"/>
  <c r="AB39" i="6"/>
  <c r="AA39" i="6"/>
  <c r="K39" i="6"/>
  <c r="J39" i="6"/>
  <c r="BJ37" i="6"/>
  <c r="AA37" i="6"/>
  <c r="BI37" i="6"/>
  <c r="CA37" i="6"/>
  <c r="BZ37" i="6"/>
  <c r="AR37" i="6"/>
  <c r="AS37" i="6"/>
  <c r="AB37" i="6"/>
  <c r="K37" i="6"/>
  <c r="J37" i="6"/>
  <c r="BJ32" i="6"/>
  <c r="CA32" i="6"/>
  <c r="BI32" i="6"/>
  <c r="BZ32" i="6"/>
  <c r="AB32" i="6"/>
  <c r="AA32" i="6"/>
  <c r="AS32" i="6"/>
  <c r="AR32" i="6"/>
  <c r="J32" i="6"/>
  <c r="K32" i="6"/>
  <c r="CA40" i="6"/>
  <c r="BZ40" i="6"/>
  <c r="AS40" i="6"/>
  <c r="AR40" i="6"/>
  <c r="AB40" i="6"/>
  <c r="AA40" i="6"/>
  <c r="BJ40" i="6"/>
  <c r="BI40" i="6"/>
  <c r="K40" i="6"/>
  <c r="J40" i="6"/>
  <c r="AS33" i="6"/>
  <c r="AA33" i="6"/>
  <c r="AR33" i="6"/>
  <c r="BJ33" i="6"/>
  <c r="CA33" i="6"/>
  <c r="BI33" i="6"/>
  <c r="BZ33" i="6"/>
  <c r="AB33" i="6"/>
  <c r="J33" i="6"/>
  <c r="K33" i="6"/>
  <c r="AA41" i="6"/>
  <c r="BJ41" i="6"/>
  <c r="BI41" i="6"/>
  <c r="CA41" i="6"/>
  <c r="BZ41" i="6"/>
  <c r="AS41" i="6"/>
  <c r="AR41" i="6"/>
  <c r="AB41" i="6"/>
  <c r="J41" i="6"/>
  <c r="K41" i="6"/>
  <c r="E59" i="6"/>
  <c r="BJ34" i="6"/>
  <c r="CA34" i="6"/>
  <c r="BI34" i="6"/>
  <c r="BZ34" i="6"/>
  <c r="AB34" i="6"/>
  <c r="AA34" i="6"/>
  <c r="AS34" i="6"/>
  <c r="AR34" i="6"/>
  <c r="K34" i="6"/>
  <c r="J34" i="6"/>
  <c r="AR35" i="6"/>
  <c r="BJ35" i="6"/>
  <c r="BI35" i="6"/>
  <c r="CA35" i="6"/>
  <c r="BZ35" i="6"/>
  <c r="AA35" i="6"/>
  <c r="AS35" i="6"/>
  <c r="AB35" i="6"/>
  <c r="J35" i="6"/>
  <c r="K35" i="6"/>
  <c r="CA36" i="6"/>
  <c r="BZ36" i="6"/>
  <c r="AS36" i="6"/>
  <c r="AB36" i="6"/>
  <c r="AR36" i="6"/>
  <c r="AA36" i="6"/>
  <c r="BI36" i="6"/>
  <c r="BJ36" i="6"/>
  <c r="K36" i="6"/>
  <c r="J36" i="6"/>
  <c r="I5" i="8"/>
  <c r="I6" i="8"/>
  <c r="O37" i="8"/>
  <c r="J10" i="8"/>
  <c r="K10" i="8" s="1"/>
  <c r="L10" i="8" s="1"/>
  <c r="AE40" i="8"/>
  <c r="Y13" i="8"/>
  <c r="Z13" i="8" s="1"/>
  <c r="J14" i="8"/>
  <c r="K14" i="8" s="1"/>
  <c r="L14" i="8" s="1"/>
  <c r="O41" i="8"/>
  <c r="E59" i="8"/>
  <c r="T56" i="8"/>
  <c r="AE41" i="8"/>
  <c r="Y14" i="8"/>
  <c r="Z14" i="8" s="1"/>
  <c r="X6" i="8"/>
  <c r="O40" i="8"/>
  <c r="J13" i="8"/>
  <c r="K13" i="8" s="1"/>
  <c r="L13" i="8" s="1"/>
  <c r="Y10" i="8"/>
  <c r="Z10" i="8" s="1"/>
  <c r="AE37" i="8"/>
  <c r="L13" i="6"/>
  <c r="N40" i="6" s="1"/>
  <c r="V59" i="6"/>
  <c r="E56" i="6"/>
  <c r="AH15" i="6"/>
  <c r="BK12" i="6"/>
  <c r="BM39" i="6" s="1"/>
  <c r="AC13" i="6"/>
  <c r="AE40" i="6" s="1"/>
  <c r="L9" i="6"/>
  <c r="N36" i="6" s="1"/>
  <c r="BK5" i="6"/>
  <c r="BM32" i="6" s="1"/>
  <c r="BL5" i="6"/>
  <c r="AH16" i="6"/>
  <c r="AH14" i="6"/>
  <c r="BM14" i="6"/>
  <c r="BP14" i="6" s="1"/>
  <c r="BL6" i="6" s="1"/>
  <c r="AH12" i="6"/>
  <c r="BM12" i="6"/>
  <c r="BP12" i="6" s="1"/>
  <c r="BK10" i="6" s="1"/>
  <c r="BM37" i="6" s="1"/>
  <c r="AH13" i="6"/>
  <c r="AC9" i="6" s="1"/>
  <c r="AE36" i="6" s="1"/>
  <c r="BM13" i="6"/>
  <c r="BP13" i="6" s="1"/>
  <c r="AH8" i="6"/>
  <c r="AC5" i="6" s="1"/>
  <c r="AE32" i="6" s="1"/>
  <c r="BK13" i="6"/>
  <c r="BM40" i="6" s="1"/>
  <c r="BK11" i="6"/>
  <c r="BM38" i="6" s="1"/>
  <c r="BK7" i="6"/>
  <c r="BK8" i="6"/>
  <c r="BM35" i="6" s="1"/>
  <c r="AC8" i="6"/>
  <c r="AE35" i="6" s="1"/>
  <c r="AC7" i="6"/>
  <c r="AC11" i="6"/>
  <c r="AE38" i="6" s="1"/>
  <c r="V56" i="6"/>
  <c r="L12" i="6"/>
  <c r="N39" i="6" s="1"/>
  <c r="L14" i="6"/>
  <c r="N41" i="6" s="1"/>
  <c r="L7" i="6"/>
  <c r="L8" i="6"/>
  <c r="N35" i="6" s="1"/>
  <c r="M6" i="6"/>
  <c r="M5" i="6"/>
  <c r="L6" i="6"/>
  <c r="N33" i="6" s="1"/>
  <c r="L11" i="6"/>
  <c r="N38" i="6" s="1"/>
  <c r="L5" i="6"/>
  <c r="N32" i="6" s="1"/>
  <c r="L10" i="6"/>
  <c r="N37" i="6" s="1"/>
  <c r="X5" i="8"/>
  <c r="E56" i="8"/>
  <c r="AC10" i="6" l="1"/>
  <c r="AE37" i="6" s="1"/>
  <c r="AA14" i="8"/>
  <c r="AB14" i="8"/>
  <c r="AA13" i="8"/>
  <c r="AB13" i="8"/>
  <c r="AA10" i="8"/>
  <c r="AB10" i="8"/>
  <c r="AC6" i="6"/>
  <c r="AE33" i="6" s="1"/>
  <c r="AD6" i="6"/>
  <c r="AD5" i="6"/>
  <c r="BK6" i="6"/>
  <c r="BM33" i="6" s="1"/>
  <c r="AC14" i="6"/>
  <c r="AE41" i="6" s="1"/>
  <c r="BK9" i="6"/>
  <c r="BM36" i="6" s="1"/>
  <c r="BK14" i="6"/>
  <c r="BM41" i="6" s="1"/>
  <c r="CC55" i="4"/>
  <c r="CC58" i="4" s="1"/>
  <c r="CC54" i="4"/>
  <c r="CG52" i="4"/>
  <c r="CF52" i="4"/>
  <c r="CE52" i="4"/>
  <c r="CD52" i="4"/>
  <c r="CC52" i="4"/>
  <c r="CB52" i="4"/>
  <c r="CA52" i="4"/>
  <c r="CG51" i="4"/>
  <c r="CF51" i="4"/>
  <c r="CE51" i="4"/>
  <c r="CD51" i="4"/>
  <c r="CC51" i="4"/>
  <c r="CB51" i="4"/>
  <c r="CA51" i="4"/>
  <c r="CG50" i="4"/>
  <c r="CF50" i="4"/>
  <c r="CE50" i="4"/>
  <c r="CD50" i="4"/>
  <c r="CC50" i="4"/>
  <c r="CB50" i="4"/>
  <c r="CA50" i="4"/>
  <c r="CG49" i="4"/>
  <c r="CF49" i="4"/>
  <c r="CE49" i="4"/>
  <c r="CD49" i="4"/>
  <c r="CC49" i="4"/>
  <c r="CB49" i="4"/>
  <c r="CA49" i="4"/>
  <c r="CG48" i="4"/>
  <c r="CF48" i="4"/>
  <c r="CE48" i="4"/>
  <c r="CD48" i="4"/>
  <c r="CC48" i="4"/>
  <c r="CB48" i="4"/>
  <c r="CA48" i="4"/>
  <c r="CG47" i="4"/>
  <c r="CF47" i="4"/>
  <c r="CE47" i="4"/>
  <c r="CD47" i="4"/>
  <c r="CC47" i="4"/>
  <c r="CB47" i="4"/>
  <c r="CA47" i="4"/>
  <c r="CG46" i="4"/>
  <c r="CF46" i="4"/>
  <c r="CE46" i="4"/>
  <c r="CD46" i="4"/>
  <c r="CC46" i="4"/>
  <c r="CB46" i="4"/>
  <c r="CA46" i="4"/>
  <c r="CG45" i="4"/>
  <c r="CF45" i="4"/>
  <c r="CE45" i="4"/>
  <c r="CD45" i="4"/>
  <c r="CC45" i="4"/>
  <c r="CB45" i="4"/>
  <c r="CA45" i="4"/>
  <c r="CG44" i="4"/>
  <c r="CF44" i="4"/>
  <c r="CE44" i="4"/>
  <c r="CD44" i="4"/>
  <c r="CC44" i="4"/>
  <c r="CB44" i="4"/>
  <c r="CA44" i="4"/>
  <c r="CG43" i="4"/>
  <c r="CF43" i="4"/>
  <c r="CE43" i="4"/>
  <c r="CD43" i="4"/>
  <c r="CC43" i="4"/>
  <c r="CB43" i="4"/>
  <c r="CA43" i="4"/>
  <c r="CJ41" i="4"/>
  <c r="CJ14" i="4" s="1"/>
  <c r="CI41" i="4"/>
  <c r="CH41" i="4"/>
  <c r="CJ40" i="4"/>
  <c r="CJ13" i="4" s="1"/>
  <c r="CI40" i="4"/>
  <c r="CH40" i="4"/>
  <c r="CJ39" i="4"/>
  <c r="CI39" i="4"/>
  <c r="CH39" i="4"/>
  <c r="CJ38" i="4"/>
  <c r="CJ11" i="4" s="1"/>
  <c r="CI38" i="4"/>
  <c r="CH38" i="4"/>
  <c r="CJ37" i="4"/>
  <c r="CI37" i="4"/>
  <c r="CH37" i="4"/>
  <c r="CQ36" i="4"/>
  <c r="CJ36" i="4"/>
  <c r="CI36" i="4"/>
  <c r="CH36" i="4"/>
  <c r="CJ35" i="4"/>
  <c r="CI35" i="4"/>
  <c r="CH35" i="4"/>
  <c r="CJ34" i="4"/>
  <c r="CI34" i="4"/>
  <c r="CH34" i="4"/>
  <c r="CQ33" i="4"/>
  <c r="CJ33" i="4"/>
  <c r="CI33" i="4"/>
  <c r="CH33" i="4"/>
  <c r="CJ32" i="4"/>
  <c r="CJ5" i="4" s="1"/>
  <c r="CI32" i="4"/>
  <c r="CH32" i="4"/>
  <c r="CG14" i="4"/>
  <c r="CF14" i="4"/>
  <c r="CB14" i="4"/>
  <c r="CG13" i="4"/>
  <c r="CF13" i="4"/>
  <c r="CB13" i="4"/>
  <c r="CG12" i="4"/>
  <c r="CF12" i="4"/>
  <c r="CB12" i="4"/>
  <c r="CG11" i="4"/>
  <c r="CF11" i="4"/>
  <c r="CB11" i="4"/>
  <c r="CG10" i="4"/>
  <c r="CF10" i="4"/>
  <c r="CB10" i="4"/>
  <c r="CG9" i="4"/>
  <c r="CF9" i="4"/>
  <c r="CB9" i="4"/>
  <c r="CG8" i="4"/>
  <c r="CF8" i="4"/>
  <c r="CB8" i="4"/>
  <c r="CG7" i="4"/>
  <c r="CF7" i="4"/>
  <c r="CB7" i="4"/>
  <c r="CG6" i="4"/>
  <c r="CF6" i="4"/>
  <c r="CB6" i="4"/>
  <c r="CG5" i="4"/>
  <c r="CF5" i="4"/>
  <c r="CB5" i="4"/>
  <c r="CG3" i="4"/>
  <c r="CF3" i="4"/>
  <c r="CC59" i="4" l="1"/>
  <c r="CQ30" i="4"/>
  <c r="CJ8" i="4"/>
  <c r="CQ29" i="4"/>
  <c r="CJ7" i="4"/>
  <c r="CQ35" i="4"/>
  <c r="CQ32" i="4"/>
  <c r="CJ10" i="4"/>
  <c r="CJ12" i="4"/>
  <c r="CQ28" i="4"/>
  <c r="CJ6" i="4"/>
  <c r="CQ34" i="4"/>
  <c r="CQ31" i="4"/>
  <c r="CJ9" i="4"/>
  <c r="CQ27" i="4"/>
  <c r="CC56" i="4"/>
  <c r="CJ16" i="4" l="1"/>
  <c r="I6" i="3"/>
  <c r="I7" i="3"/>
  <c r="I8" i="3"/>
  <c r="I9" i="3"/>
  <c r="I10" i="3"/>
  <c r="I11" i="3"/>
  <c r="I12" i="3"/>
  <c r="I13" i="3"/>
  <c r="I14" i="3"/>
  <c r="I5" i="3"/>
  <c r="I3" i="3"/>
  <c r="K28" i="3"/>
  <c r="J28" i="3"/>
  <c r="K27" i="3"/>
  <c r="J27" i="3"/>
  <c r="K26" i="3"/>
  <c r="J26" i="3"/>
  <c r="K25" i="3"/>
  <c r="J25" i="3"/>
  <c r="K24" i="3"/>
  <c r="J24" i="3"/>
  <c r="K23" i="3"/>
  <c r="J23" i="3"/>
  <c r="K22" i="3"/>
  <c r="J22" i="3"/>
  <c r="K21" i="3"/>
  <c r="J21" i="3"/>
  <c r="K20" i="3"/>
  <c r="J20" i="3"/>
  <c r="K19" i="3"/>
  <c r="J19" i="3"/>
  <c r="F14" i="12" l="1"/>
  <c r="F5" i="12"/>
  <c r="F6" i="12"/>
  <c r="F7" i="12"/>
  <c r="F8" i="12"/>
  <c r="F9" i="12"/>
  <c r="F10" i="12"/>
  <c r="F11" i="12"/>
  <c r="F12" i="12"/>
  <c r="F13" i="12"/>
  <c r="F4" i="12"/>
  <c r="E5" i="12"/>
  <c r="E6" i="12"/>
  <c r="E7" i="12"/>
  <c r="E8" i="12"/>
  <c r="E9" i="12"/>
  <c r="E10" i="12"/>
  <c r="E11" i="12"/>
  <c r="E12" i="12"/>
  <c r="E13" i="12"/>
  <c r="E4" i="12"/>
  <c r="D14" i="12"/>
  <c r="D5" i="12"/>
  <c r="D6" i="12"/>
  <c r="D7" i="12"/>
  <c r="D8" i="12"/>
  <c r="D9" i="12"/>
  <c r="D10" i="12"/>
  <c r="D11" i="12"/>
  <c r="D12" i="12"/>
  <c r="D13" i="12"/>
  <c r="D4" i="12"/>
  <c r="C14" i="12"/>
  <c r="C5" i="12"/>
  <c r="C6" i="12"/>
  <c r="C7" i="12"/>
  <c r="C8" i="12"/>
  <c r="C9" i="12"/>
  <c r="C10" i="12"/>
  <c r="C11" i="12"/>
  <c r="C12" i="12"/>
  <c r="C13" i="12"/>
  <c r="C4" i="12"/>
  <c r="B14" i="12"/>
  <c r="B5" i="12"/>
  <c r="B6" i="12"/>
  <c r="B7" i="12"/>
  <c r="B8" i="12"/>
  <c r="B9" i="12"/>
  <c r="B10" i="12"/>
  <c r="B11" i="12"/>
  <c r="B12" i="12"/>
  <c r="B13" i="12"/>
  <c r="B4" i="12"/>
  <c r="BN14" i="4" l="1"/>
  <c r="BN13" i="4"/>
  <c r="BN12" i="4"/>
  <c r="BN11" i="4"/>
  <c r="BN10" i="4"/>
  <c r="BN9" i="4"/>
  <c r="BN8" i="4"/>
  <c r="BN7" i="4"/>
  <c r="BN6" i="4"/>
  <c r="BN5" i="4"/>
  <c r="BN3" i="4"/>
  <c r="AU14" i="4"/>
  <c r="AU13" i="4"/>
  <c r="AU12" i="4"/>
  <c r="AU11" i="4"/>
  <c r="AU10" i="4"/>
  <c r="AU9" i="4"/>
  <c r="AU8" i="4"/>
  <c r="AU7" i="4"/>
  <c r="AU6" i="4"/>
  <c r="AU5" i="4"/>
  <c r="AU3" i="4"/>
  <c r="I3" i="15" l="1"/>
  <c r="I6" i="4"/>
  <c r="I7" i="4"/>
  <c r="I8" i="4"/>
  <c r="I9" i="4"/>
  <c r="I10" i="4"/>
  <c r="I11" i="4"/>
  <c r="I12" i="4"/>
  <c r="I13" i="4"/>
  <c r="I14" i="4"/>
  <c r="I5" i="4"/>
  <c r="I3" i="4"/>
  <c r="DF14" i="10" l="1"/>
  <c r="DE14" i="10"/>
  <c r="DD14" i="10"/>
  <c r="DF13" i="10"/>
  <c r="DE13" i="10"/>
  <c r="DD13" i="10"/>
  <c r="DF12" i="10"/>
  <c r="DE12" i="10"/>
  <c r="DD12" i="10"/>
  <c r="DF11" i="10"/>
  <c r="DE11" i="10"/>
  <c r="DD11" i="10"/>
  <c r="DF10" i="10"/>
  <c r="DE10" i="10"/>
  <c r="DD10" i="10"/>
  <c r="DF9" i="10"/>
  <c r="DE9" i="10"/>
  <c r="DD9" i="10"/>
  <c r="DF8" i="10"/>
  <c r="DE8" i="10"/>
  <c r="DD8" i="10"/>
  <c r="DF7" i="10"/>
  <c r="DE7" i="10"/>
  <c r="DD7" i="10"/>
  <c r="DF6" i="10"/>
  <c r="DE6" i="10"/>
  <c r="DD6" i="10"/>
  <c r="DF5" i="10"/>
  <c r="DE5" i="10"/>
  <c r="DD5" i="10"/>
  <c r="DF3" i="10"/>
  <c r="DE3" i="10"/>
  <c r="DD3" i="10"/>
  <c r="CR14" i="10"/>
  <c r="CQ14" i="10"/>
  <c r="CP14" i="10"/>
  <c r="CR13" i="10"/>
  <c r="CQ13" i="10"/>
  <c r="CP13" i="10"/>
  <c r="CR12" i="10"/>
  <c r="CQ12" i="10"/>
  <c r="CP12" i="10"/>
  <c r="CR11" i="10"/>
  <c r="CQ11" i="10"/>
  <c r="CP11" i="10"/>
  <c r="CR10" i="10"/>
  <c r="CQ10" i="10"/>
  <c r="CP10" i="10"/>
  <c r="CR9" i="10"/>
  <c r="CQ9" i="10"/>
  <c r="CP9" i="10"/>
  <c r="CR8" i="10"/>
  <c r="CQ8" i="10"/>
  <c r="CP8" i="10"/>
  <c r="CR7" i="10"/>
  <c r="CQ7" i="10"/>
  <c r="CP7" i="10"/>
  <c r="CR6" i="10"/>
  <c r="CQ6" i="10"/>
  <c r="CP6" i="10"/>
  <c r="CR5" i="10"/>
  <c r="CQ5" i="10"/>
  <c r="CP5" i="10"/>
  <c r="CR3" i="10"/>
  <c r="CQ3" i="10"/>
  <c r="CP3" i="10"/>
  <c r="BZ14" i="10"/>
  <c r="BY14" i="10"/>
  <c r="BX14" i="10"/>
  <c r="BZ13" i="10"/>
  <c r="BY13" i="10"/>
  <c r="BX13" i="10"/>
  <c r="BZ12" i="10"/>
  <c r="BY12" i="10"/>
  <c r="BX12" i="10"/>
  <c r="BZ11" i="10"/>
  <c r="BY11" i="10"/>
  <c r="BX11" i="10"/>
  <c r="BZ10" i="10"/>
  <c r="BY10" i="10"/>
  <c r="BX10" i="10"/>
  <c r="BZ9" i="10"/>
  <c r="BY9" i="10"/>
  <c r="BX9" i="10"/>
  <c r="BZ8" i="10"/>
  <c r="BY8" i="10"/>
  <c r="BX8" i="10"/>
  <c r="BZ7" i="10"/>
  <c r="BY7" i="10"/>
  <c r="BX7" i="10"/>
  <c r="BZ6" i="10"/>
  <c r="BY6" i="10"/>
  <c r="BX6" i="10"/>
  <c r="BZ5" i="10"/>
  <c r="BY5" i="10"/>
  <c r="BX5" i="10"/>
  <c r="BZ3" i="10"/>
  <c r="BY3" i="10"/>
  <c r="BX3" i="10"/>
  <c r="BH14" i="10"/>
  <c r="BG14" i="10"/>
  <c r="BF14" i="10"/>
  <c r="BH13" i="10"/>
  <c r="BG13" i="10"/>
  <c r="BF13" i="10"/>
  <c r="BH12" i="10"/>
  <c r="BG12" i="10"/>
  <c r="BF12" i="10"/>
  <c r="BH11" i="10"/>
  <c r="BG11" i="10"/>
  <c r="BF11" i="10"/>
  <c r="BH10" i="10"/>
  <c r="BG10" i="10"/>
  <c r="BF10" i="10"/>
  <c r="BH9" i="10"/>
  <c r="BG9" i="10"/>
  <c r="BF9" i="10"/>
  <c r="BH8" i="10"/>
  <c r="BG8" i="10"/>
  <c r="BF8" i="10"/>
  <c r="BH7" i="10"/>
  <c r="BG7" i="10"/>
  <c r="BF7" i="10"/>
  <c r="BH6" i="10"/>
  <c r="BG6" i="10"/>
  <c r="BF6" i="10"/>
  <c r="BH5" i="10"/>
  <c r="BG5" i="10"/>
  <c r="BF5" i="10"/>
  <c r="BH3" i="10"/>
  <c r="BG3" i="10"/>
  <c r="BF3" i="10"/>
  <c r="AT14" i="10"/>
  <c r="AS14" i="10"/>
  <c r="AR14" i="10"/>
  <c r="AT13" i="10"/>
  <c r="AS13" i="10"/>
  <c r="AR13" i="10"/>
  <c r="AT12" i="10"/>
  <c r="AS12" i="10"/>
  <c r="AR12" i="10"/>
  <c r="AT11" i="10"/>
  <c r="AS11" i="10"/>
  <c r="AR11" i="10"/>
  <c r="AT10" i="10"/>
  <c r="AS10" i="10"/>
  <c r="AR10" i="10"/>
  <c r="AT9" i="10"/>
  <c r="AS9" i="10"/>
  <c r="AR9" i="10"/>
  <c r="AT8" i="10"/>
  <c r="AS8" i="10"/>
  <c r="AR8" i="10"/>
  <c r="AT7" i="10"/>
  <c r="AS7" i="10"/>
  <c r="AR7" i="10"/>
  <c r="AT6" i="10"/>
  <c r="AS6" i="10"/>
  <c r="AR6" i="10"/>
  <c r="AT5" i="10"/>
  <c r="AS5" i="10"/>
  <c r="AR5" i="10"/>
  <c r="AT3" i="10"/>
  <c r="AS3" i="10"/>
  <c r="AR3" i="10"/>
  <c r="Z6" i="10"/>
  <c r="AA6" i="10"/>
  <c r="AB6" i="10"/>
  <c r="Z7" i="10"/>
  <c r="AA7" i="10"/>
  <c r="AB7" i="10"/>
  <c r="Z8" i="10"/>
  <c r="AA8" i="10"/>
  <c r="AB8" i="10"/>
  <c r="Z9" i="10"/>
  <c r="AA9" i="10"/>
  <c r="AB9" i="10"/>
  <c r="Z10" i="10"/>
  <c r="AA10" i="10"/>
  <c r="AB10" i="10"/>
  <c r="Z11" i="10"/>
  <c r="AA11" i="10"/>
  <c r="AB11" i="10"/>
  <c r="Z12" i="10"/>
  <c r="AA12" i="10"/>
  <c r="AB12" i="10"/>
  <c r="Z13" i="10"/>
  <c r="AA13" i="10"/>
  <c r="AB13" i="10"/>
  <c r="Z14" i="10"/>
  <c r="AA14" i="10"/>
  <c r="AB14" i="10"/>
  <c r="AB5" i="10"/>
  <c r="AA5" i="10"/>
  <c r="Z5" i="10"/>
  <c r="AA3" i="10"/>
  <c r="Z3" i="10"/>
  <c r="AB3" i="10"/>
  <c r="E55" i="10"/>
  <c r="E58" i="10" s="1"/>
  <c r="E54" i="10"/>
  <c r="I52" i="10"/>
  <c r="H52" i="10"/>
  <c r="G52" i="10"/>
  <c r="F52" i="10"/>
  <c r="E52" i="10"/>
  <c r="D52" i="10"/>
  <c r="C52" i="10"/>
  <c r="I51" i="10"/>
  <c r="H51" i="10"/>
  <c r="G51" i="10"/>
  <c r="F51" i="10"/>
  <c r="E51" i="10"/>
  <c r="D51" i="10"/>
  <c r="C51" i="10"/>
  <c r="I50" i="10"/>
  <c r="H50" i="10"/>
  <c r="G50" i="10"/>
  <c r="F50" i="10"/>
  <c r="E50" i="10"/>
  <c r="D50" i="10"/>
  <c r="C50" i="10"/>
  <c r="I49" i="10"/>
  <c r="H49" i="10"/>
  <c r="G49" i="10"/>
  <c r="F49" i="10"/>
  <c r="E49" i="10"/>
  <c r="D49" i="10"/>
  <c r="C49" i="10"/>
  <c r="I48" i="10"/>
  <c r="H48" i="10"/>
  <c r="G48" i="10"/>
  <c r="F48" i="10"/>
  <c r="E48" i="10"/>
  <c r="D48" i="10"/>
  <c r="C48" i="10"/>
  <c r="I47" i="10"/>
  <c r="H47" i="10"/>
  <c r="G47" i="10"/>
  <c r="F47" i="10"/>
  <c r="E47" i="10"/>
  <c r="D47" i="10"/>
  <c r="C47" i="10"/>
  <c r="I46" i="10"/>
  <c r="H46" i="10"/>
  <c r="G46" i="10"/>
  <c r="F46" i="10"/>
  <c r="E46" i="10"/>
  <c r="D46" i="10"/>
  <c r="C46" i="10"/>
  <c r="I45" i="10"/>
  <c r="H45" i="10"/>
  <c r="G45" i="10"/>
  <c r="F45" i="10"/>
  <c r="E45" i="10"/>
  <c r="D45" i="10"/>
  <c r="C45" i="10"/>
  <c r="I44" i="10"/>
  <c r="H44" i="10"/>
  <c r="G44" i="10"/>
  <c r="F44" i="10"/>
  <c r="E44" i="10"/>
  <c r="D44" i="10"/>
  <c r="C44" i="10"/>
  <c r="I43" i="10"/>
  <c r="H43" i="10"/>
  <c r="G43" i="10"/>
  <c r="F43" i="10"/>
  <c r="E43" i="10"/>
  <c r="D43" i="10"/>
  <c r="C43" i="10"/>
  <c r="M41" i="10"/>
  <c r="N41" i="10" s="1"/>
  <c r="L41" i="10"/>
  <c r="J41" i="10"/>
  <c r="K41" i="10" s="1"/>
  <c r="M40" i="10"/>
  <c r="N40" i="10" s="1"/>
  <c r="L40" i="10"/>
  <c r="J40" i="10"/>
  <c r="K40" i="10" s="1"/>
  <c r="M39" i="10"/>
  <c r="N39" i="10" s="1"/>
  <c r="L39" i="10"/>
  <c r="J39" i="10"/>
  <c r="K39" i="10" s="1"/>
  <c r="M38" i="10"/>
  <c r="N38" i="10" s="1"/>
  <c r="L38" i="10"/>
  <c r="J38" i="10"/>
  <c r="K38" i="10" s="1"/>
  <c r="M37" i="10"/>
  <c r="N37" i="10" s="1"/>
  <c r="L37" i="10"/>
  <c r="J37" i="10"/>
  <c r="K37" i="10" s="1"/>
  <c r="M36" i="10"/>
  <c r="N36" i="10" s="1"/>
  <c r="L36" i="10"/>
  <c r="J36" i="10"/>
  <c r="K36" i="10" s="1"/>
  <c r="M35" i="10"/>
  <c r="N35" i="10" s="1"/>
  <c r="L35" i="10"/>
  <c r="J35" i="10"/>
  <c r="K35" i="10" s="1"/>
  <c r="M34" i="10"/>
  <c r="N34" i="10" s="1"/>
  <c r="L34" i="10"/>
  <c r="J34" i="10"/>
  <c r="K34" i="10" s="1"/>
  <c r="M33" i="10"/>
  <c r="N33" i="10" s="1"/>
  <c r="L33" i="10"/>
  <c r="J33" i="10"/>
  <c r="K33" i="10" s="1"/>
  <c r="M32" i="10"/>
  <c r="N32" i="10" s="1"/>
  <c r="L32" i="10"/>
  <c r="J32" i="10"/>
  <c r="K32" i="10" s="1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I14" i="10"/>
  <c r="H14" i="10"/>
  <c r="D14" i="10"/>
  <c r="I13" i="10"/>
  <c r="H13" i="10"/>
  <c r="D13" i="10"/>
  <c r="I12" i="10"/>
  <c r="H12" i="10"/>
  <c r="D12" i="10"/>
  <c r="I11" i="10"/>
  <c r="H11" i="10"/>
  <c r="D11" i="10"/>
  <c r="I10" i="10"/>
  <c r="H10" i="10"/>
  <c r="D10" i="10"/>
  <c r="I9" i="10"/>
  <c r="H9" i="10"/>
  <c r="D9" i="10"/>
  <c r="I8" i="10"/>
  <c r="H8" i="10"/>
  <c r="D8" i="10"/>
  <c r="I7" i="10"/>
  <c r="H7" i="10"/>
  <c r="D7" i="10"/>
  <c r="I6" i="10"/>
  <c r="H6" i="10"/>
  <c r="D6" i="10"/>
  <c r="I5" i="10"/>
  <c r="H5" i="10"/>
  <c r="D5" i="10"/>
  <c r="I3" i="10"/>
  <c r="H3" i="10"/>
  <c r="CU41" i="10"/>
  <c r="CV41" i="10" s="1"/>
  <c r="CT41" i="10"/>
  <c r="CU40" i="10"/>
  <c r="CV40" i="10" s="1"/>
  <c r="CT40" i="10"/>
  <c r="CU39" i="10"/>
  <c r="CV39" i="10" s="1"/>
  <c r="CT39" i="10"/>
  <c r="CU38" i="10"/>
  <c r="CV38" i="10" s="1"/>
  <c r="CT38" i="10"/>
  <c r="CU37" i="10"/>
  <c r="CV37" i="10" s="1"/>
  <c r="CT37" i="10"/>
  <c r="CU36" i="10"/>
  <c r="CV36" i="10" s="1"/>
  <c r="CT36" i="10"/>
  <c r="CU35" i="10"/>
  <c r="CV35" i="10" s="1"/>
  <c r="CT35" i="10"/>
  <c r="CU34" i="10"/>
  <c r="CV34" i="10" s="1"/>
  <c r="CT34" i="10"/>
  <c r="CU33" i="10"/>
  <c r="CV33" i="10" s="1"/>
  <c r="CT33" i="10"/>
  <c r="CU32" i="10"/>
  <c r="CV32" i="10" s="1"/>
  <c r="CT32" i="10"/>
  <c r="AW41" i="10"/>
  <c r="AX41" i="10" s="1"/>
  <c r="AV41" i="10"/>
  <c r="AW40" i="10"/>
  <c r="AX40" i="10" s="1"/>
  <c r="AV40" i="10"/>
  <c r="AW39" i="10"/>
  <c r="AX39" i="10" s="1"/>
  <c r="AV39" i="10"/>
  <c r="AW38" i="10"/>
  <c r="AX38" i="10" s="1"/>
  <c r="AV38" i="10"/>
  <c r="AW37" i="10"/>
  <c r="AX37" i="10" s="1"/>
  <c r="AV37" i="10"/>
  <c r="AW36" i="10"/>
  <c r="AX36" i="10" s="1"/>
  <c r="AV36" i="10"/>
  <c r="AW35" i="10"/>
  <c r="AX35" i="10" s="1"/>
  <c r="AV35" i="10"/>
  <c r="AW34" i="10"/>
  <c r="AX34" i="10" s="1"/>
  <c r="AV34" i="10"/>
  <c r="AW33" i="10"/>
  <c r="AX33" i="10" s="1"/>
  <c r="AV33" i="10"/>
  <c r="AW32" i="10"/>
  <c r="AX32" i="10" s="1"/>
  <c r="AV32" i="10"/>
  <c r="DI41" i="10"/>
  <c r="DJ41" i="10" s="1"/>
  <c r="DH41" i="10"/>
  <c r="DI40" i="10"/>
  <c r="DJ40" i="10" s="1"/>
  <c r="DH40" i="10"/>
  <c r="DI39" i="10"/>
  <c r="DJ39" i="10" s="1"/>
  <c r="DH39" i="10"/>
  <c r="DI38" i="10"/>
  <c r="DJ38" i="10" s="1"/>
  <c r="DH38" i="10"/>
  <c r="DI37" i="10"/>
  <c r="DJ37" i="10" s="1"/>
  <c r="DH37" i="10"/>
  <c r="DI36" i="10"/>
  <c r="DJ36" i="10" s="1"/>
  <c r="DH36" i="10"/>
  <c r="DI35" i="10"/>
  <c r="DJ35" i="10" s="1"/>
  <c r="DH35" i="10"/>
  <c r="DI34" i="10"/>
  <c r="DJ34" i="10" s="1"/>
  <c r="DH34" i="10"/>
  <c r="DI33" i="10"/>
  <c r="DJ33" i="10" s="1"/>
  <c r="DH33" i="10"/>
  <c r="DI32" i="10"/>
  <c r="DJ32" i="10" s="1"/>
  <c r="DH32" i="10"/>
  <c r="BM41" i="3"/>
  <c r="BP41" i="3" s="1"/>
  <c r="BQ41" i="3" s="1"/>
  <c r="BR41" i="3" s="1"/>
  <c r="BJ14" i="10"/>
  <c r="BM40" i="3"/>
  <c r="BP40" i="3" s="1"/>
  <c r="BQ40" i="3" s="1"/>
  <c r="BR40" i="3" s="1"/>
  <c r="BJ13" i="10"/>
  <c r="BM39" i="3"/>
  <c r="BP39" i="3" s="1"/>
  <c r="BQ39" i="3" s="1"/>
  <c r="BR39" i="3" s="1"/>
  <c r="BJ12" i="10"/>
  <c r="BM38" i="3"/>
  <c r="BP38" i="3" s="1"/>
  <c r="BQ38" i="3" s="1"/>
  <c r="BR38" i="3" s="1"/>
  <c r="BJ11" i="10"/>
  <c r="BM37" i="3"/>
  <c r="BP37" i="3" s="1"/>
  <c r="BQ37" i="3" s="1"/>
  <c r="BR37" i="3" s="1"/>
  <c r="BJ10" i="10"/>
  <c r="BM36" i="3"/>
  <c r="BP36" i="3" s="1"/>
  <c r="BQ36" i="3" s="1"/>
  <c r="BR36" i="3" s="1"/>
  <c r="BJ9" i="10"/>
  <c r="BM35" i="3"/>
  <c r="BP35" i="3" s="1"/>
  <c r="BQ35" i="3" s="1"/>
  <c r="BR35" i="3" s="1"/>
  <c r="BJ8" i="10"/>
  <c r="BM34" i="3"/>
  <c r="BQ34" i="3" s="1"/>
  <c r="BR34" i="3" s="1"/>
  <c r="BJ7" i="10"/>
  <c r="BM33" i="3"/>
  <c r="BJ6" i="10"/>
  <c r="BM32" i="3"/>
  <c r="L47" i="10" l="1"/>
  <c r="O36" i="6"/>
  <c r="P36" i="6" s="1"/>
  <c r="R41" i="10"/>
  <c r="L50" i="10"/>
  <c r="O39" i="6"/>
  <c r="P39" i="6" s="1"/>
  <c r="L44" i="10"/>
  <c r="O33" i="6"/>
  <c r="P33" i="6" s="1"/>
  <c r="L52" i="10"/>
  <c r="O41" i="6"/>
  <c r="P41" i="6" s="1"/>
  <c r="AW36" i="3"/>
  <c r="AX36" i="3" s="1"/>
  <c r="AW40" i="3"/>
  <c r="AX40" i="3" s="1"/>
  <c r="AW37" i="3"/>
  <c r="AX37" i="3" s="1"/>
  <c r="AW41" i="3"/>
  <c r="AX41" i="3" s="1"/>
  <c r="L45" i="10"/>
  <c r="O34" i="6"/>
  <c r="P34" i="6" s="1"/>
  <c r="AV30" i="10"/>
  <c r="DH30" i="10"/>
  <c r="CT30" i="10"/>
  <c r="L48" i="10"/>
  <c r="O37" i="6"/>
  <c r="P37" i="6" s="1"/>
  <c r="AW38" i="3"/>
  <c r="AX38" i="3" s="1"/>
  <c r="L43" i="10"/>
  <c r="L30" i="10"/>
  <c r="AF3" i="4" s="1"/>
  <c r="O32" i="6"/>
  <c r="P32" i="6" s="1"/>
  <c r="R37" i="10"/>
  <c r="L51" i="10"/>
  <c r="O40" i="6"/>
  <c r="P40" i="6" s="1"/>
  <c r="L46" i="10"/>
  <c r="O35" i="6"/>
  <c r="P35" i="6" s="1"/>
  <c r="BJ5" i="10"/>
  <c r="BJ16" i="10" s="1"/>
  <c r="AW35" i="3"/>
  <c r="AX35" i="3" s="1"/>
  <c r="AW39" i="3"/>
  <c r="AX39" i="3" s="1"/>
  <c r="L49" i="10"/>
  <c r="O38" i="6"/>
  <c r="P38" i="6" s="1"/>
  <c r="R32" i="10"/>
  <c r="R36" i="10"/>
  <c r="R39" i="10"/>
  <c r="R35" i="10"/>
  <c r="R40" i="10"/>
  <c r="R33" i="10"/>
  <c r="R38" i="10"/>
  <c r="O34" i="10"/>
  <c r="R34" i="10"/>
  <c r="O37" i="10"/>
  <c r="O32" i="10"/>
  <c r="O40" i="10"/>
  <c r="O35" i="10"/>
  <c r="O38" i="10"/>
  <c r="O33" i="10"/>
  <c r="O41" i="10"/>
  <c r="O36" i="10"/>
  <c r="O39" i="10"/>
  <c r="E61" i="10"/>
  <c r="E59" i="10"/>
  <c r="E56" i="10"/>
  <c r="AT33" i="10"/>
  <c r="AU33" i="10" s="1"/>
  <c r="AT34" i="10"/>
  <c r="AU34" i="10" s="1"/>
  <c r="AT35" i="10"/>
  <c r="AU35" i="10" s="1"/>
  <c r="AT36" i="10"/>
  <c r="AU36" i="10" s="1"/>
  <c r="AT37" i="10"/>
  <c r="AU37" i="10" s="1"/>
  <c r="AT38" i="10"/>
  <c r="AU38" i="10" s="1"/>
  <c r="AT39" i="10"/>
  <c r="AU39" i="10" s="1"/>
  <c r="AT40" i="10"/>
  <c r="AU40" i="10" s="1"/>
  <c r="AT41" i="10"/>
  <c r="AU41" i="10" s="1"/>
  <c r="AT32" i="10"/>
  <c r="AU32" i="10" s="1"/>
  <c r="AT19" i="10"/>
  <c r="AT20" i="10"/>
  <c r="AT21" i="10"/>
  <c r="AT22" i="10"/>
  <c r="AT23" i="10"/>
  <c r="AT24" i="10"/>
  <c r="AT25" i="10"/>
  <c r="AT26" i="10"/>
  <c r="AT27" i="10"/>
  <c r="AT28" i="10"/>
  <c r="AU20" i="10"/>
  <c r="AU21" i="10"/>
  <c r="AU22" i="10"/>
  <c r="AU23" i="10"/>
  <c r="AU24" i="10"/>
  <c r="AU25" i="10"/>
  <c r="AU26" i="10"/>
  <c r="AU27" i="10"/>
  <c r="AU28" i="10"/>
  <c r="AU19" i="10"/>
  <c r="BC41" i="5"/>
  <c r="BD41" i="5" s="1"/>
  <c r="BD40" i="5"/>
  <c r="BC40" i="5"/>
  <c r="BC39" i="5"/>
  <c r="BD39" i="5" s="1"/>
  <c r="BC38" i="5"/>
  <c r="BD38" i="5" s="1"/>
  <c r="BC37" i="5"/>
  <c r="BD37" i="5" s="1"/>
  <c r="BC36" i="5"/>
  <c r="BD36" i="5" s="1"/>
  <c r="BD35" i="5"/>
  <c r="BC35" i="5"/>
  <c r="BC34" i="5"/>
  <c r="BD34" i="5" s="1"/>
  <c r="BC33" i="5"/>
  <c r="BD33" i="5" s="1"/>
  <c r="BC32" i="5"/>
  <c r="BD32" i="5" s="1"/>
  <c r="AP41" i="5"/>
  <c r="AO41" i="5"/>
  <c r="AO40" i="5"/>
  <c r="AP40" i="5" s="1"/>
  <c r="AO39" i="5"/>
  <c r="AP39" i="5" s="1"/>
  <c r="AO38" i="5"/>
  <c r="AP38" i="5" s="1"/>
  <c r="AP37" i="5"/>
  <c r="AO37" i="5"/>
  <c r="AO36" i="5"/>
  <c r="AP36" i="5" s="1"/>
  <c r="AO35" i="5"/>
  <c r="AP35" i="5" s="1"/>
  <c r="AO34" i="5"/>
  <c r="AP34" i="5" s="1"/>
  <c r="AP33" i="5"/>
  <c r="AO33" i="5"/>
  <c r="AO32" i="5"/>
  <c r="AP32" i="5" s="1"/>
  <c r="AA41" i="5"/>
  <c r="AB41" i="5" s="1"/>
  <c r="AA40" i="5"/>
  <c r="AB40" i="5" s="1"/>
  <c r="AB39" i="5"/>
  <c r="AA39" i="5"/>
  <c r="AA38" i="5"/>
  <c r="AB38" i="5" s="1"/>
  <c r="AA37" i="5"/>
  <c r="AB37" i="5" s="1"/>
  <c r="AA36" i="5"/>
  <c r="AB36" i="5" s="1"/>
  <c r="AB35" i="5"/>
  <c r="AA35" i="5"/>
  <c r="AA34" i="5"/>
  <c r="AB34" i="5" s="1"/>
  <c r="AA33" i="5"/>
  <c r="AB33" i="5" s="1"/>
  <c r="AA32" i="5"/>
  <c r="AB32" i="5" s="1"/>
  <c r="M33" i="5"/>
  <c r="M34" i="5"/>
  <c r="M35" i="5"/>
  <c r="M36" i="5"/>
  <c r="M37" i="5"/>
  <c r="M38" i="5"/>
  <c r="M39" i="5"/>
  <c r="M40" i="5"/>
  <c r="M41" i="5"/>
  <c r="M32" i="5"/>
  <c r="AY14" i="5" l="1"/>
  <c r="AY13" i="5"/>
  <c r="AY12" i="5"/>
  <c r="AY11" i="5"/>
  <c r="AY10" i="5"/>
  <c r="AY9" i="5"/>
  <c r="AY8" i="5"/>
  <c r="AY7" i="5"/>
  <c r="AY6" i="5"/>
  <c r="AY5" i="5"/>
  <c r="AK14" i="5"/>
  <c r="AK13" i="5"/>
  <c r="AK12" i="5"/>
  <c r="AK11" i="5"/>
  <c r="AK10" i="5"/>
  <c r="AK9" i="5"/>
  <c r="AK8" i="5"/>
  <c r="AK7" i="5"/>
  <c r="AK6" i="5"/>
  <c r="AK5" i="5"/>
  <c r="W6" i="5"/>
  <c r="W7" i="5"/>
  <c r="W8" i="5"/>
  <c r="W9" i="5"/>
  <c r="W10" i="5"/>
  <c r="W11" i="5"/>
  <c r="W12" i="5"/>
  <c r="W13" i="5"/>
  <c r="W14" i="5"/>
  <c r="W5" i="5"/>
  <c r="AU56" i="5"/>
  <c r="AU55" i="5"/>
  <c r="AU58" i="5" s="1"/>
  <c r="AU54" i="5"/>
  <c r="AY52" i="5"/>
  <c r="AX52" i="5"/>
  <c r="AW52" i="5"/>
  <c r="AV52" i="5"/>
  <c r="AU52" i="5"/>
  <c r="AT52" i="5"/>
  <c r="AS52" i="5"/>
  <c r="AY51" i="5"/>
  <c r="AX51" i="5"/>
  <c r="AW51" i="5"/>
  <c r="AV51" i="5"/>
  <c r="AU51" i="5"/>
  <c r="AT51" i="5"/>
  <c r="AS51" i="5"/>
  <c r="AY50" i="5"/>
  <c r="AX50" i="5"/>
  <c r="AW50" i="5"/>
  <c r="AV50" i="5"/>
  <c r="AU50" i="5"/>
  <c r="AT50" i="5"/>
  <c r="AS50" i="5"/>
  <c r="AY49" i="5"/>
  <c r="AX49" i="5"/>
  <c r="AW49" i="5"/>
  <c r="AV49" i="5"/>
  <c r="AU49" i="5"/>
  <c r="AT49" i="5"/>
  <c r="AS49" i="5"/>
  <c r="AY48" i="5"/>
  <c r="AX48" i="5"/>
  <c r="AW48" i="5"/>
  <c r="AV48" i="5"/>
  <c r="AU48" i="5"/>
  <c r="AT48" i="5"/>
  <c r="AS48" i="5"/>
  <c r="AY47" i="5"/>
  <c r="AX47" i="5"/>
  <c r="AW47" i="5"/>
  <c r="AV47" i="5"/>
  <c r="AU47" i="5"/>
  <c r="AT47" i="5"/>
  <c r="AS47" i="5"/>
  <c r="AY46" i="5"/>
  <c r="AX46" i="5"/>
  <c r="AW46" i="5"/>
  <c r="AV46" i="5"/>
  <c r="AU46" i="5"/>
  <c r="AT46" i="5"/>
  <c r="AS46" i="5"/>
  <c r="AY45" i="5"/>
  <c r="AX45" i="5"/>
  <c r="AW45" i="5"/>
  <c r="AV45" i="5"/>
  <c r="AU45" i="5"/>
  <c r="AT45" i="5"/>
  <c r="AS45" i="5"/>
  <c r="AY44" i="5"/>
  <c r="AX44" i="5"/>
  <c r="AW44" i="5"/>
  <c r="AV44" i="5"/>
  <c r="AU44" i="5"/>
  <c r="AT44" i="5"/>
  <c r="AS44" i="5"/>
  <c r="AY43" i="5"/>
  <c r="AX43" i="5"/>
  <c r="AW43" i="5"/>
  <c r="AV43" i="5"/>
  <c r="AU43" i="5"/>
  <c r="AT43" i="5"/>
  <c r="AS43" i="5"/>
  <c r="BB41" i="5"/>
  <c r="BA41" i="5"/>
  <c r="AZ41" i="5"/>
  <c r="BB40" i="5"/>
  <c r="BB13" i="5" s="1"/>
  <c r="BA40" i="5"/>
  <c r="AZ40" i="5"/>
  <c r="BB39" i="5"/>
  <c r="BB12" i="5" s="1"/>
  <c r="BA39" i="5"/>
  <c r="AZ39" i="5"/>
  <c r="BB38" i="5"/>
  <c r="BA38" i="5"/>
  <c r="AZ38" i="5"/>
  <c r="BB37" i="5"/>
  <c r="BB10" i="5" s="1"/>
  <c r="BA37" i="5"/>
  <c r="AZ37" i="5"/>
  <c r="BB36" i="5"/>
  <c r="BA36" i="5"/>
  <c r="AZ36" i="5"/>
  <c r="BB35" i="5"/>
  <c r="BB8" i="5" s="1"/>
  <c r="BA35" i="5"/>
  <c r="AZ35" i="5"/>
  <c r="BB34" i="5"/>
  <c r="BB7" i="5" s="1"/>
  <c r="BA34" i="5"/>
  <c r="AZ34" i="5"/>
  <c r="BB33" i="5"/>
  <c r="BA33" i="5"/>
  <c r="AZ33" i="5"/>
  <c r="BB32" i="5"/>
  <c r="BB5" i="5" s="1"/>
  <c r="BA32" i="5"/>
  <c r="AZ32" i="5"/>
  <c r="BA28" i="5"/>
  <c r="AZ28" i="5"/>
  <c r="BA27" i="5"/>
  <c r="AZ27" i="5"/>
  <c r="BA26" i="5"/>
  <c r="AZ26" i="5"/>
  <c r="BA25" i="5"/>
  <c r="AZ25" i="5"/>
  <c r="BA24" i="5"/>
  <c r="AZ24" i="5"/>
  <c r="BA23" i="5"/>
  <c r="AZ23" i="5"/>
  <c r="BA22" i="5"/>
  <c r="AZ22" i="5"/>
  <c r="BA21" i="5"/>
  <c r="AZ21" i="5"/>
  <c r="BA20" i="5"/>
  <c r="AZ20" i="5"/>
  <c r="BA19" i="5"/>
  <c r="AZ19" i="5"/>
  <c r="BB14" i="5"/>
  <c r="AX14" i="5"/>
  <c r="AX13" i="5"/>
  <c r="AX12" i="5"/>
  <c r="BB11" i="5"/>
  <c r="AX11" i="5"/>
  <c r="AX10" i="5"/>
  <c r="BB9" i="5"/>
  <c r="AX9" i="5"/>
  <c r="AX8" i="5"/>
  <c r="AX7" i="5"/>
  <c r="BB6" i="5"/>
  <c r="AX6" i="5"/>
  <c r="AX5" i="5"/>
  <c r="AU59" i="5" l="1"/>
  <c r="BB16" i="5"/>
  <c r="S55" i="5" l="1"/>
  <c r="S54" i="5"/>
  <c r="W52" i="5"/>
  <c r="V52" i="5"/>
  <c r="U52" i="5"/>
  <c r="T52" i="5"/>
  <c r="S52" i="5"/>
  <c r="R52" i="5"/>
  <c r="Q52" i="5"/>
  <c r="W51" i="5"/>
  <c r="V51" i="5"/>
  <c r="U51" i="5"/>
  <c r="T51" i="5"/>
  <c r="S51" i="5"/>
  <c r="R51" i="5"/>
  <c r="Q51" i="5"/>
  <c r="W50" i="5"/>
  <c r="V50" i="5"/>
  <c r="U50" i="5"/>
  <c r="T50" i="5"/>
  <c r="S50" i="5"/>
  <c r="R50" i="5"/>
  <c r="Q50" i="5"/>
  <c r="W49" i="5"/>
  <c r="V49" i="5"/>
  <c r="U49" i="5"/>
  <c r="T49" i="5"/>
  <c r="S49" i="5"/>
  <c r="R49" i="5"/>
  <c r="Q49" i="5"/>
  <c r="W48" i="5"/>
  <c r="V48" i="5"/>
  <c r="U48" i="5"/>
  <c r="T48" i="5"/>
  <c r="S48" i="5"/>
  <c r="R48" i="5"/>
  <c r="Q48" i="5"/>
  <c r="W47" i="5"/>
  <c r="V47" i="5"/>
  <c r="U47" i="5"/>
  <c r="T47" i="5"/>
  <c r="S47" i="5"/>
  <c r="R47" i="5"/>
  <c r="Q47" i="5"/>
  <c r="W46" i="5"/>
  <c r="V46" i="5"/>
  <c r="U46" i="5"/>
  <c r="T46" i="5"/>
  <c r="S46" i="5"/>
  <c r="R46" i="5"/>
  <c r="Q46" i="5"/>
  <c r="W45" i="5"/>
  <c r="V45" i="5"/>
  <c r="U45" i="5"/>
  <c r="T45" i="5"/>
  <c r="S45" i="5"/>
  <c r="R45" i="5"/>
  <c r="Q45" i="5"/>
  <c r="W44" i="5"/>
  <c r="V44" i="5"/>
  <c r="U44" i="5"/>
  <c r="T44" i="5"/>
  <c r="S44" i="5"/>
  <c r="R44" i="5"/>
  <c r="Q44" i="5"/>
  <c r="W43" i="5"/>
  <c r="V43" i="5"/>
  <c r="U43" i="5"/>
  <c r="T43" i="5"/>
  <c r="S43" i="5"/>
  <c r="R43" i="5"/>
  <c r="Q43" i="5"/>
  <c r="Z41" i="5"/>
  <c r="Z14" i="5" s="1"/>
  <c r="Y41" i="5"/>
  <c r="X41" i="5"/>
  <c r="Z40" i="5"/>
  <c r="Z13" i="5" s="1"/>
  <c r="Y40" i="5"/>
  <c r="X40" i="5"/>
  <c r="Z39" i="5"/>
  <c r="Z12" i="5" s="1"/>
  <c r="Y39" i="5"/>
  <c r="X39" i="5"/>
  <c r="Z38" i="5"/>
  <c r="Z11" i="5" s="1"/>
  <c r="Y38" i="5"/>
  <c r="X38" i="5"/>
  <c r="Z37" i="5"/>
  <c r="Z10" i="5" s="1"/>
  <c r="Y37" i="5"/>
  <c r="X37" i="5"/>
  <c r="Z36" i="5"/>
  <c r="Z9" i="5" s="1"/>
  <c r="Y36" i="5"/>
  <c r="X36" i="5"/>
  <c r="Z35" i="5"/>
  <c r="Z8" i="5" s="1"/>
  <c r="Y35" i="5"/>
  <c r="X35" i="5"/>
  <c r="Z34" i="5"/>
  <c r="Z7" i="5" s="1"/>
  <c r="Y34" i="5"/>
  <c r="X34" i="5"/>
  <c r="Z33" i="5"/>
  <c r="Z6" i="5" s="1"/>
  <c r="Y33" i="5"/>
  <c r="X33" i="5"/>
  <c r="Z32" i="5"/>
  <c r="Z5" i="5" s="1"/>
  <c r="Y32" i="5"/>
  <c r="X32" i="5"/>
  <c r="Y28" i="5"/>
  <c r="X28" i="5"/>
  <c r="Y27" i="5"/>
  <c r="X27" i="5"/>
  <c r="Y26" i="5"/>
  <c r="X26" i="5"/>
  <c r="Y25" i="5"/>
  <c r="X25" i="5"/>
  <c r="Y24" i="5"/>
  <c r="X24" i="5"/>
  <c r="Y23" i="5"/>
  <c r="X23" i="5"/>
  <c r="Y22" i="5"/>
  <c r="X22" i="5"/>
  <c r="Y21" i="5"/>
  <c r="X21" i="5"/>
  <c r="Y20" i="5"/>
  <c r="X20" i="5"/>
  <c r="Y19" i="5"/>
  <c r="X19" i="5"/>
  <c r="V14" i="5"/>
  <c r="V13" i="5"/>
  <c r="V12" i="5"/>
  <c r="V11" i="5"/>
  <c r="V10" i="5"/>
  <c r="V9" i="5"/>
  <c r="V8" i="5"/>
  <c r="V7" i="5"/>
  <c r="V6" i="5"/>
  <c r="V5" i="5"/>
  <c r="AG55" i="5"/>
  <c r="AG58" i="5" s="1"/>
  <c r="AG54" i="5"/>
  <c r="AK52" i="5"/>
  <c r="AJ52" i="5"/>
  <c r="AI52" i="5"/>
  <c r="AH52" i="5"/>
  <c r="AG52" i="5"/>
  <c r="AF52" i="5"/>
  <c r="AE52" i="5"/>
  <c r="AK51" i="5"/>
  <c r="AJ51" i="5"/>
  <c r="AI51" i="5"/>
  <c r="AH51" i="5"/>
  <c r="AG51" i="5"/>
  <c r="AF51" i="5"/>
  <c r="AE51" i="5"/>
  <c r="AK50" i="5"/>
  <c r="AJ50" i="5"/>
  <c r="AI50" i="5"/>
  <c r="AH50" i="5"/>
  <c r="AG50" i="5"/>
  <c r="AF50" i="5"/>
  <c r="AE50" i="5"/>
  <c r="AK49" i="5"/>
  <c r="AJ49" i="5"/>
  <c r="AI49" i="5"/>
  <c r="AH49" i="5"/>
  <c r="AG49" i="5"/>
  <c r="AF49" i="5"/>
  <c r="AE49" i="5"/>
  <c r="AK48" i="5"/>
  <c r="AJ48" i="5"/>
  <c r="AI48" i="5"/>
  <c r="AH48" i="5"/>
  <c r="AG48" i="5"/>
  <c r="AF48" i="5"/>
  <c r="AE48" i="5"/>
  <c r="AK47" i="5"/>
  <c r="AJ47" i="5"/>
  <c r="AI47" i="5"/>
  <c r="AH47" i="5"/>
  <c r="AG47" i="5"/>
  <c r="AF47" i="5"/>
  <c r="AE47" i="5"/>
  <c r="AK46" i="5"/>
  <c r="AJ46" i="5"/>
  <c r="AI46" i="5"/>
  <c r="AH46" i="5"/>
  <c r="AG46" i="5"/>
  <c r="AF46" i="5"/>
  <c r="AE46" i="5"/>
  <c r="AK45" i="5"/>
  <c r="AJ45" i="5"/>
  <c r="AI45" i="5"/>
  <c r="AH45" i="5"/>
  <c r="AG45" i="5"/>
  <c r="AF45" i="5"/>
  <c r="AE45" i="5"/>
  <c r="AK44" i="5"/>
  <c r="AJ44" i="5"/>
  <c r="AI44" i="5"/>
  <c r="AH44" i="5"/>
  <c r="AG44" i="5"/>
  <c r="AF44" i="5"/>
  <c r="AE44" i="5"/>
  <c r="AK43" i="5"/>
  <c r="AJ43" i="5"/>
  <c r="AI43" i="5"/>
  <c r="AH43" i="5"/>
  <c r="AG43" i="5"/>
  <c r="AF43" i="5"/>
  <c r="AE43" i="5"/>
  <c r="AN41" i="5"/>
  <c r="AN14" i="5" s="1"/>
  <c r="AM41" i="5"/>
  <c r="AL41" i="5"/>
  <c r="AN40" i="5"/>
  <c r="AN13" i="5" s="1"/>
  <c r="AM40" i="5"/>
  <c r="AL40" i="5"/>
  <c r="AN39" i="5"/>
  <c r="AN12" i="5" s="1"/>
  <c r="AM39" i="5"/>
  <c r="AL39" i="5"/>
  <c r="AN38" i="5"/>
  <c r="AN11" i="5" s="1"/>
  <c r="AM38" i="5"/>
  <c r="AL38" i="5"/>
  <c r="AN37" i="5"/>
  <c r="AN10" i="5" s="1"/>
  <c r="AM37" i="5"/>
  <c r="AL37" i="5"/>
  <c r="AN36" i="5"/>
  <c r="AN9" i="5" s="1"/>
  <c r="AM36" i="5"/>
  <c r="AL36" i="5"/>
  <c r="AN35" i="5"/>
  <c r="AN8" i="5" s="1"/>
  <c r="AM35" i="5"/>
  <c r="AL35" i="5"/>
  <c r="AN34" i="5"/>
  <c r="AN7" i="5" s="1"/>
  <c r="AM34" i="5"/>
  <c r="AL34" i="5"/>
  <c r="AN33" i="5"/>
  <c r="AN6" i="5" s="1"/>
  <c r="AM33" i="5"/>
  <c r="AL33" i="5"/>
  <c r="AN32" i="5"/>
  <c r="AN5" i="5" s="1"/>
  <c r="AM32" i="5"/>
  <c r="AL32" i="5"/>
  <c r="AM28" i="5"/>
  <c r="AL28" i="5"/>
  <c r="AM27" i="5"/>
  <c r="AL27" i="5"/>
  <c r="AM26" i="5"/>
  <c r="AL26" i="5"/>
  <c r="AM25" i="5"/>
  <c r="AL25" i="5"/>
  <c r="AM24" i="5"/>
  <c r="AL24" i="5"/>
  <c r="AM23" i="5"/>
  <c r="AL23" i="5"/>
  <c r="AM22" i="5"/>
  <c r="AL22" i="5"/>
  <c r="AM21" i="5"/>
  <c r="AL21" i="5"/>
  <c r="AM20" i="5"/>
  <c r="AL20" i="5"/>
  <c r="AM19" i="5"/>
  <c r="AL19" i="5"/>
  <c r="AJ14" i="5"/>
  <c r="AJ13" i="5"/>
  <c r="AJ12" i="5"/>
  <c r="AJ11" i="5"/>
  <c r="AJ10" i="5"/>
  <c r="AJ9" i="5"/>
  <c r="AJ8" i="5"/>
  <c r="AJ7" i="5"/>
  <c r="AJ6" i="5"/>
  <c r="AJ5" i="5"/>
  <c r="L41" i="5"/>
  <c r="L14" i="5" s="1"/>
  <c r="L40" i="5"/>
  <c r="L13" i="5" s="1"/>
  <c r="L39" i="5"/>
  <c r="L12" i="5" s="1"/>
  <c r="L38" i="5"/>
  <c r="L11" i="5" s="1"/>
  <c r="L37" i="5"/>
  <c r="L10" i="5" s="1"/>
  <c r="L36" i="5"/>
  <c r="L9" i="5" s="1"/>
  <c r="L35" i="5"/>
  <c r="L8" i="5" s="1"/>
  <c r="L34" i="5"/>
  <c r="L7" i="5" s="1"/>
  <c r="L33" i="5"/>
  <c r="L6" i="5" s="1"/>
  <c r="L32" i="5"/>
  <c r="L5" i="5" s="1"/>
  <c r="E55" i="5"/>
  <c r="E58" i="5" s="1"/>
  <c r="E54" i="5"/>
  <c r="I52" i="5"/>
  <c r="H52" i="5"/>
  <c r="G52" i="5"/>
  <c r="F52" i="5"/>
  <c r="E52" i="5"/>
  <c r="D52" i="5"/>
  <c r="C52" i="5"/>
  <c r="I51" i="5"/>
  <c r="H51" i="5"/>
  <c r="G51" i="5"/>
  <c r="F51" i="5"/>
  <c r="E51" i="5"/>
  <c r="D51" i="5"/>
  <c r="C51" i="5"/>
  <c r="I50" i="5"/>
  <c r="H50" i="5"/>
  <c r="G50" i="5"/>
  <c r="F50" i="5"/>
  <c r="E50" i="5"/>
  <c r="D50" i="5"/>
  <c r="C50" i="5"/>
  <c r="I49" i="5"/>
  <c r="H49" i="5"/>
  <c r="G49" i="5"/>
  <c r="F49" i="5"/>
  <c r="E49" i="5"/>
  <c r="D49" i="5"/>
  <c r="C49" i="5"/>
  <c r="I48" i="5"/>
  <c r="H48" i="5"/>
  <c r="G48" i="5"/>
  <c r="F48" i="5"/>
  <c r="E48" i="5"/>
  <c r="D48" i="5"/>
  <c r="C48" i="5"/>
  <c r="I47" i="5"/>
  <c r="H47" i="5"/>
  <c r="G47" i="5"/>
  <c r="F47" i="5"/>
  <c r="E47" i="5"/>
  <c r="D47" i="5"/>
  <c r="C47" i="5"/>
  <c r="I46" i="5"/>
  <c r="H46" i="5"/>
  <c r="G46" i="5"/>
  <c r="F46" i="5"/>
  <c r="E46" i="5"/>
  <c r="D46" i="5"/>
  <c r="C46" i="5"/>
  <c r="I45" i="5"/>
  <c r="H45" i="5"/>
  <c r="G45" i="5"/>
  <c r="F45" i="5"/>
  <c r="E45" i="5"/>
  <c r="D45" i="5"/>
  <c r="C45" i="5"/>
  <c r="I44" i="5"/>
  <c r="H44" i="5"/>
  <c r="G44" i="5"/>
  <c r="F44" i="5"/>
  <c r="E44" i="5"/>
  <c r="D44" i="5"/>
  <c r="C44" i="5"/>
  <c r="I43" i="5"/>
  <c r="H43" i="5"/>
  <c r="G43" i="5"/>
  <c r="F43" i="5"/>
  <c r="E43" i="5"/>
  <c r="D43" i="5"/>
  <c r="C43" i="5"/>
  <c r="N41" i="5"/>
  <c r="K41" i="5"/>
  <c r="J41" i="5"/>
  <c r="N40" i="5"/>
  <c r="K40" i="5"/>
  <c r="J40" i="5"/>
  <c r="N39" i="5"/>
  <c r="K39" i="5"/>
  <c r="J39" i="5"/>
  <c r="N38" i="5"/>
  <c r="K38" i="5"/>
  <c r="J38" i="5"/>
  <c r="N37" i="5"/>
  <c r="K37" i="5"/>
  <c r="J37" i="5"/>
  <c r="N36" i="5"/>
  <c r="K36" i="5"/>
  <c r="J36" i="5"/>
  <c r="N35" i="5"/>
  <c r="K35" i="5"/>
  <c r="J35" i="5"/>
  <c r="N34" i="5"/>
  <c r="K34" i="5"/>
  <c r="J34" i="5"/>
  <c r="N33" i="5"/>
  <c r="K33" i="5"/>
  <c r="J33" i="5"/>
  <c r="N32" i="5"/>
  <c r="K32" i="5"/>
  <c r="J32" i="5"/>
  <c r="K28" i="5"/>
  <c r="J28" i="5"/>
  <c r="K27" i="5"/>
  <c r="J27" i="5"/>
  <c r="K26" i="5"/>
  <c r="J26" i="5"/>
  <c r="K25" i="5"/>
  <c r="J25" i="5"/>
  <c r="K24" i="5"/>
  <c r="J24" i="5"/>
  <c r="K23" i="5"/>
  <c r="J23" i="5"/>
  <c r="K22" i="5"/>
  <c r="J22" i="5"/>
  <c r="K21" i="5"/>
  <c r="J21" i="5"/>
  <c r="K20" i="5"/>
  <c r="J20" i="5"/>
  <c r="K19" i="5"/>
  <c r="J19" i="5"/>
  <c r="H14" i="5"/>
  <c r="H13" i="5"/>
  <c r="H12" i="5"/>
  <c r="H11" i="5"/>
  <c r="H10" i="5"/>
  <c r="H9" i="5"/>
  <c r="H8" i="5"/>
  <c r="H7" i="5"/>
  <c r="H6" i="5"/>
  <c r="H5" i="5"/>
  <c r="AG59" i="5" l="1"/>
  <c r="E59" i="5"/>
  <c r="S56" i="5"/>
  <c r="S58" i="5"/>
  <c r="S59" i="5" s="1"/>
  <c r="L16" i="5"/>
  <c r="Z16" i="5"/>
  <c r="AG56" i="5"/>
  <c r="AN16" i="5"/>
  <c r="E56" i="5"/>
  <c r="W6" i="4" l="1"/>
  <c r="W7" i="4"/>
  <c r="W8" i="4"/>
  <c r="W9" i="4"/>
  <c r="W10" i="4"/>
  <c r="W11" i="4"/>
  <c r="W12" i="4"/>
  <c r="W13" i="4"/>
  <c r="W14" i="4"/>
  <c r="W5" i="4"/>
  <c r="AP6" i="4"/>
  <c r="AP7" i="4"/>
  <c r="AP8" i="4"/>
  <c r="AP9" i="4"/>
  <c r="AP10" i="4"/>
  <c r="AP11" i="4"/>
  <c r="AP12" i="4"/>
  <c r="AP13" i="4"/>
  <c r="AP14" i="4"/>
  <c r="AP5" i="4"/>
  <c r="E55" i="3" l="1"/>
  <c r="E58" i="3" s="1"/>
  <c r="E54" i="3"/>
  <c r="I52" i="3"/>
  <c r="H52" i="3"/>
  <c r="G52" i="3"/>
  <c r="F52" i="3"/>
  <c r="E52" i="3"/>
  <c r="D52" i="3"/>
  <c r="C52" i="3"/>
  <c r="I51" i="3"/>
  <c r="H51" i="3"/>
  <c r="G51" i="3"/>
  <c r="F51" i="3"/>
  <c r="E51" i="3"/>
  <c r="D51" i="3"/>
  <c r="C51" i="3"/>
  <c r="I50" i="3"/>
  <c r="H50" i="3"/>
  <c r="G50" i="3"/>
  <c r="F50" i="3"/>
  <c r="E50" i="3"/>
  <c r="D50" i="3"/>
  <c r="C50" i="3"/>
  <c r="I49" i="3"/>
  <c r="H49" i="3"/>
  <c r="G49" i="3"/>
  <c r="F49" i="3"/>
  <c r="E49" i="3"/>
  <c r="D49" i="3"/>
  <c r="C49" i="3"/>
  <c r="I48" i="3"/>
  <c r="H48" i="3"/>
  <c r="G48" i="3"/>
  <c r="F48" i="3"/>
  <c r="E48" i="3"/>
  <c r="D48" i="3"/>
  <c r="C48" i="3"/>
  <c r="I47" i="3"/>
  <c r="H47" i="3"/>
  <c r="G47" i="3"/>
  <c r="F47" i="3"/>
  <c r="E47" i="3"/>
  <c r="D47" i="3"/>
  <c r="C47" i="3"/>
  <c r="I46" i="3"/>
  <c r="H46" i="3"/>
  <c r="G46" i="3"/>
  <c r="F46" i="3"/>
  <c r="E46" i="3"/>
  <c r="D46" i="3"/>
  <c r="C46" i="3"/>
  <c r="I45" i="3"/>
  <c r="H45" i="3"/>
  <c r="G45" i="3"/>
  <c r="F45" i="3"/>
  <c r="E45" i="3"/>
  <c r="D45" i="3"/>
  <c r="C45" i="3"/>
  <c r="I44" i="3"/>
  <c r="H44" i="3"/>
  <c r="G44" i="3"/>
  <c r="F44" i="3"/>
  <c r="E44" i="3"/>
  <c r="D44" i="3"/>
  <c r="C44" i="3"/>
  <c r="I43" i="3"/>
  <c r="H43" i="3"/>
  <c r="G43" i="3"/>
  <c r="F43" i="3"/>
  <c r="E43" i="3"/>
  <c r="D43" i="3"/>
  <c r="C43" i="3"/>
  <c r="O41" i="3"/>
  <c r="L41" i="3"/>
  <c r="L14" i="3" s="1"/>
  <c r="N40" i="3"/>
  <c r="L40" i="3"/>
  <c r="L13" i="3" s="1"/>
  <c r="O39" i="3"/>
  <c r="L39" i="3"/>
  <c r="L12" i="3" s="1"/>
  <c r="O38" i="3"/>
  <c r="L38" i="3"/>
  <c r="L11" i="3" s="1"/>
  <c r="N37" i="3"/>
  <c r="L37" i="3"/>
  <c r="L10" i="3" s="1"/>
  <c r="N36" i="3"/>
  <c r="L36" i="3"/>
  <c r="L9" i="3" s="1"/>
  <c r="O35" i="3"/>
  <c r="L35" i="3"/>
  <c r="N34" i="3"/>
  <c r="L34" i="3"/>
  <c r="L7" i="3" s="1"/>
  <c r="L33" i="3"/>
  <c r="L6" i="3" s="1"/>
  <c r="L32" i="3"/>
  <c r="L5" i="3" s="1"/>
  <c r="H14" i="3"/>
  <c r="D14" i="3"/>
  <c r="H13" i="3"/>
  <c r="D13" i="3"/>
  <c r="H12" i="3"/>
  <c r="D12" i="3"/>
  <c r="H11" i="3"/>
  <c r="D11" i="3"/>
  <c r="H10" i="3"/>
  <c r="D10" i="3"/>
  <c r="H9" i="3"/>
  <c r="D9" i="3"/>
  <c r="H8" i="3"/>
  <c r="D8" i="3"/>
  <c r="H7" i="3"/>
  <c r="D7" i="3"/>
  <c r="H6" i="3"/>
  <c r="D6" i="3"/>
  <c r="H5" i="3"/>
  <c r="D5" i="3"/>
  <c r="H3" i="3"/>
  <c r="L8" i="3" l="1"/>
  <c r="L16" i="3" s="1"/>
  <c r="N38" i="3"/>
  <c r="O40" i="3"/>
  <c r="N39" i="3"/>
  <c r="O37" i="3"/>
  <c r="N35" i="3"/>
  <c r="O36" i="3"/>
  <c r="N41" i="3"/>
  <c r="E61" i="3"/>
  <c r="E59" i="3"/>
  <c r="O32" i="3"/>
  <c r="O33" i="3"/>
  <c r="O34" i="3"/>
  <c r="N32" i="3"/>
  <c r="N33" i="3"/>
  <c r="E56" i="3"/>
  <c r="M16" i="3" l="1"/>
  <c r="Z6" i="8"/>
  <c r="K6" i="8"/>
  <c r="L6" i="8" s="1"/>
  <c r="Z5" i="8"/>
  <c r="K5" i="8"/>
  <c r="L5" i="8" s="1"/>
  <c r="AX41" i="4"/>
  <c r="AX40" i="4"/>
  <c r="AX39" i="4"/>
  <c r="AX38" i="4"/>
  <c r="AX37" i="4"/>
  <c r="AX36" i="4"/>
  <c r="AX35" i="4"/>
  <c r="AX34" i="4"/>
  <c r="AX7" i="4" s="1"/>
  <c r="AY7" i="4" s="1"/>
  <c r="AX33" i="4"/>
  <c r="AX32" i="4"/>
  <c r="AE41" i="4"/>
  <c r="AE40" i="4"/>
  <c r="AE39" i="4"/>
  <c r="AE38" i="4"/>
  <c r="AE37" i="4"/>
  <c r="AE36" i="4"/>
  <c r="AE35" i="4"/>
  <c r="AE34" i="4"/>
  <c r="AE7" i="4" s="1"/>
  <c r="AF7" i="4" s="1"/>
  <c r="AE33" i="4"/>
  <c r="AE32" i="4"/>
  <c r="BP14" i="4"/>
  <c r="BM14" i="4"/>
  <c r="BP13" i="4"/>
  <c r="BM13" i="4"/>
  <c r="BP12" i="4"/>
  <c r="BM12" i="4"/>
  <c r="BP11" i="4"/>
  <c r="BM11" i="4"/>
  <c r="BP10" i="4"/>
  <c r="BM10" i="4"/>
  <c r="BP9" i="4"/>
  <c r="BM9" i="4"/>
  <c r="BP8" i="4"/>
  <c r="BM8" i="4"/>
  <c r="BP7" i="4"/>
  <c r="BM7" i="4"/>
  <c r="BP6" i="4"/>
  <c r="BM6" i="4"/>
  <c r="BP5" i="4"/>
  <c r="BM5" i="4"/>
  <c r="BP3" i="4"/>
  <c r="BM3" i="4"/>
  <c r="AT14" i="4"/>
  <c r="AT13" i="4"/>
  <c r="AT12" i="4"/>
  <c r="AT11" i="4"/>
  <c r="AT10" i="4"/>
  <c r="AT9" i="4"/>
  <c r="AT8" i="4"/>
  <c r="AT7" i="4"/>
  <c r="AT6" i="4"/>
  <c r="AT5" i="4"/>
  <c r="AT3" i="4"/>
  <c r="AA14" i="4"/>
  <c r="AA13" i="4"/>
  <c r="AA12" i="4"/>
  <c r="AA11" i="4"/>
  <c r="AA10" i="4"/>
  <c r="AA9" i="4"/>
  <c r="AA8" i="4"/>
  <c r="AA7" i="4"/>
  <c r="AA6" i="4"/>
  <c r="AA5" i="4"/>
  <c r="AA3" i="4"/>
  <c r="H6" i="4"/>
  <c r="H7" i="4"/>
  <c r="H8" i="4"/>
  <c r="H9" i="4"/>
  <c r="H10" i="4"/>
  <c r="H11" i="4"/>
  <c r="H12" i="4"/>
  <c r="H13" i="4"/>
  <c r="H14" i="4"/>
  <c r="H5" i="4"/>
  <c r="H3" i="4"/>
  <c r="BJ55" i="4"/>
  <c r="BJ58" i="4" s="1"/>
  <c r="BJ54" i="4"/>
  <c r="BN52" i="4"/>
  <c r="BM52" i="4"/>
  <c r="BL52" i="4"/>
  <c r="BK52" i="4"/>
  <c r="BJ52" i="4"/>
  <c r="BI52" i="4"/>
  <c r="BH52" i="4"/>
  <c r="BN51" i="4"/>
  <c r="BM51" i="4"/>
  <c r="BL51" i="4"/>
  <c r="BK51" i="4"/>
  <c r="BJ51" i="4"/>
  <c r="BI51" i="4"/>
  <c r="BH51" i="4"/>
  <c r="BN50" i="4"/>
  <c r="BM50" i="4"/>
  <c r="BL50" i="4"/>
  <c r="BK50" i="4"/>
  <c r="BJ50" i="4"/>
  <c r="BI50" i="4"/>
  <c r="BH50" i="4"/>
  <c r="BN49" i="4"/>
  <c r="BM49" i="4"/>
  <c r="BL49" i="4"/>
  <c r="BK49" i="4"/>
  <c r="BJ49" i="4"/>
  <c r="BI49" i="4"/>
  <c r="BH49" i="4"/>
  <c r="BN48" i="4"/>
  <c r="BM48" i="4"/>
  <c r="BL48" i="4"/>
  <c r="BK48" i="4"/>
  <c r="BJ48" i="4"/>
  <c r="BI48" i="4"/>
  <c r="BH48" i="4"/>
  <c r="BN47" i="4"/>
  <c r="BM47" i="4"/>
  <c r="BL47" i="4"/>
  <c r="BK47" i="4"/>
  <c r="BJ47" i="4"/>
  <c r="BI47" i="4"/>
  <c r="BH47" i="4"/>
  <c r="BN46" i="4"/>
  <c r="BM46" i="4"/>
  <c r="BL46" i="4"/>
  <c r="BK46" i="4"/>
  <c r="BJ46" i="4"/>
  <c r="BI46" i="4"/>
  <c r="BH46" i="4"/>
  <c r="BN45" i="4"/>
  <c r="BM45" i="4"/>
  <c r="BL45" i="4"/>
  <c r="BK45" i="4"/>
  <c r="BJ45" i="4"/>
  <c r="BI45" i="4"/>
  <c r="BH45" i="4"/>
  <c r="BN44" i="4"/>
  <c r="BM44" i="4"/>
  <c r="BL44" i="4"/>
  <c r="BK44" i="4"/>
  <c r="BJ44" i="4"/>
  <c r="BI44" i="4"/>
  <c r="BH44" i="4"/>
  <c r="BN43" i="4"/>
  <c r="BM43" i="4"/>
  <c r="BL43" i="4"/>
  <c r="BK43" i="4"/>
  <c r="BJ43" i="4"/>
  <c r="BI43" i="4"/>
  <c r="BH43" i="4"/>
  <c r="BQ41" i="4"/>
  <c r="BP41" i="4"/>
  <c r="BO41" i="4"/>
  <c r="BQ40" i="4"/>
  <c r="BP40" i="4"/>
  <c r="BO40" i="4"/>
  <c r="BQ39" i="4"/>
  <c r="BP39" i="4"/>
  <c r="BO39" i="4"/>
  <c r="BQ38" i="4"/>
  <c r="BP38" i="4"/>
  <c r="BO38" i="4"/>
  <c r="BQ37" i="4"/>
  <c r="BP37" i="4"/>
  <c r="BO37" i="4"/>
  <c r="BQ36" i="4"/>
  <c r="BP36" i="4"/>
  <c r="BO36" i="4"/>
  <c r="BQ35" i="4"/>
  <c r="BP35" i="4"/>
  <c r="BO35" i="4"/>
  <c r="BQ34" i="4"/>
  <c r="BQ7" i="4" s="1"/>
  <c r="BR7" i="4" s="1"/>
  <c r="BP34" i="4"/>
  <c r="BO34" i="4"/>
  <c r="BQ33" i="4"/>
  <c r="BP33" i="4"/>
  <c r="BO33" i="4"/>
  <c r="BQ32" i="4"/>
  <c r="BP32" i="4"/>
  <c r="BO32" i="4"/>
  <c r="BQ9" i="4" l="1"/>
  <c r="BR9" i="4" s="1"/>
  <c r="BS36" i="4"/>
  <c r="BT36" i="4" s="1"/>
  <c r="BU36" i="4" s="1"/>
  <c r="AE6" i="4"/>
  <c r="AF6" i="4" s="1"/>
  <c r="AG33" i="4"/>
  <c r="AH33" i="4" s="1"/>
  <c r="AI33" i="4" s="1"/>
  <c r="AE14" i="4"/>
  <c r="AF14" i="4" s="1"/>
  <c r="AG41" i="4"/>
  <c r="AH41" i="4" s="1"/>
  <c r="AI41" i="4" s="1"/>
  <c r="AX12" i="4"/>
  <c r="AY12" i="4" s="1"/>
  <c r="AZ39" i="4"/>
  <c r="BA39" i="4" s="1"/>
  <c r="BB39" i="4" s="1"/>
  <c r="BQ12" i="4"/>
  <c r="BR12" i="4" s="1"/>
  <c r="BS39" i="4"/>
  <c r="BT39" i="4" s="1"/>
  <c r="BU39" i="4" s="1"/>
  <c r="AX5" i="4"/>
  <c r="AZ32" i="4"/>
  <c r="BA32" i="4" s="1"/>
  <c r="BB32" i="4" s="1"/>
  <c r="AX30" i="4"/>
  <c r="AX13" i="4"/>
  <c r="AY13" i="4" s="1"/>
  <c r="AZ40" i="4"/>
  <c r="BA40" i="4" s="1"/>
  <c r="BB40" i="4" s="1"/>
  <c r="AX6" i="4"/>
  <c r="AY6" i="4" s="1"/>
  <c r="AZ33" i="4"/>
  <c r="BA33" i="4" s="1"/>
  <c r="BB33" i="4" s="1"/>
  <c r="AE9" i="4"/>
  <c r="AF9" i="4" s="1"/>
  <c r="AG36" i="4"/>
  <c r="AH36" i="4" s="1"/>
  <c r="AI36" i="4" s="1"/>
  <c r="BQ5" i="4"/>
  <c r="BS32" i="4"/>
  <c r="BT32" i="4" s="1"/>
  <c r="BU32" i="4" s="1"/>
  <c r="BQ30" i="4"/>
  <c r="AE10" i="4"/>
  <c r="AF10" i="4" s="1"/>
  <c r="AG37" i="4"/>
  <c r="AH37" i="4" s="1"/>
  <c r="AI37" i="4" s="1"/>
  <c r="AX8" i="4"/>
  <c r="AY8" i="4" s="1"/>
  <c r="AZ35" i="4"/>
  <c r="BA35" i="4" s="1"/>
  <c r="BB35" i="4" s="1"/>
  <c r="AE8" i="4"/>
  <c r="AF8" i="4" s="1"/>
  <c r="AG35" i="4"/>
  <c r="AH35" i="4" s="1"/>
  <c r="AI35" i="4" s="1"/>
  <c r="BQ10" i="4"/>
  <c r="BR10" i="4" s="1"/>
  <c r="BS37" i="4"/>
  <c r="BT37" i="4" s="1"/>
  <c r="BU37" i="4" s="1"/>
  <c r="BQ8" i="4"/>
  <c r="BR8" i="4" s="1"/>
  <c r="BS35" i="4"/>
  <c r="BT35" i="4" s="1"/>
  <c r="BU35" i="4" s="1"/>
  <c r="AE11" i="4"/>
  <c r="AF11" i="4" s="1"/>
  <c r="AG38" i="4"/>
  <c r="AH38" i="4" s="1"/>
  <c r="AI38" i="4" s="1"/>
  <c r="AX9" i="4"/>
  <c r="AY9" i="4" s="1"/>
  <c r="AZ36" i="4"/>
  <c r="BA36" i="4" s="1"/>
  <c r="BB36" i="4" s="1"/>
  <c r="BQ11" i="4"/>
  <c r="BR11" i="4" s="1"/>
  <c r="BS38" i="4"/>
  <c r="BT38" i="4" s="1"/>
  <c r="BU38" i="4" s="1"/>
  <c r="AE12" i="4"/>
  <c r="AF12" i="4" s="1"/>
  <c r="AG39" i="4"/>
  <c r="AH39" i="4" s="1"/>
  <c r="AI39" i="4" s="1"/>
  <c r="AX10" i="4"/>
  <c r="AY10" i="4" s="1"/>
  <c r="AZ37" i="4"/>
  <c r="BA37" i="4" s="1"/>
  <c r="BB37" i="4" s="1"/>
  <c r="AX14" i="4"/>
  <c r="AY14" i="4" s="1"/>
  <c r="AZ41" i="4"/>
  <c r="BA41" i="4" s="1"/>
  <c r="BB41" i="4" s="1"/>
  <c r="BQ13" i="4"/>
  <c r="BR13" i="4" s="1"/>
  <c r="BS40" i="4"/>
  <c r="BT40" i="4" s="1"/>
  <c r="BU40" i="4" s="1"/>
  <c r="BQ6" i="4"/>
  <c r="BR6" i="4" s="1"/>
  <c r="BS33" i="4"/>
  <c r="BT33" i="4" s="1"/>
  <c r="BU33" i="4" s="1"/>
  <c r="BQ14" i="4"/>
  <c r="BR14" i="4" s="1"/>
  <c r="BS41" i="4"/>
  <c r="BT41" i="4" s="1"/>
  <c r="BU41" i="4" s="1"/>
  <c r="AE5" i="4"/>
  <c r="AG32" i="4"/>
  <c r="AH32" i="4" s="1"/>
  <c r="AI32" i="4" s="1"/>
  <c r="AE30" i="4"/>
  <c r="AE13" i="4"/>
  <c r="AF13" i="4" s="1"/>
  <c r="AG40" i="4"/>
  <c r="AH40" i="4" s="1"/>
  <c r="AI40" i="4" s="1"/>
  <c r="AX11" i="4"/>
  <c r="AY11" i="4" s="1"/>
  <c r="AZ38" i="4"/>
  <c r="BA38" i="4" s="1"/>
  <c r="BB38" i="4" s="1"/>
  <c r="AA5" i="8"/>
  <c r="AB5" i="8"/>
  <c r="AA6" i="8"/>
  <c r="AB6" i="8"/>
  <c r="CK35" i="4"/>
  <c r="CL35" i="4" s="1"/>
  <c r="CK39" i="4"/>
  <c r="CL39" i="4" s="1"/>
  <c r="CK32" i="4"/>
  <c r="CL32" i="4" s="1"/>
  <c r="CK33" i="4"/>
  <c r="CL33" i="4" s="1"/>
  <c r="AF5" i="4"/>
  <c r="BR5" i="4"/>
  <c r="AY5" i="4"/>
  <c r="BX35" i="4"/>
  <c r="BX31" i="4"/>
  <c r="BX29" i="4"/>
  <c r="BX36" i="4"/>
  <c r="BX32" i="4"/>
  <c r="BX30" i="4"/>
  <c r="BX27" i="4"/>
  <c r="BX34" i="4"/>
  <c r="BX28" i="4"/>
  <c r="BX33" i="4"/>
  <c r="BJ59" i="4"/>
  <c r="BJ56" i="4"/>
  <c r="AX16" i="4" l="1"/>
  <c r="BR16" i="4"/>
  <c r="BQ16" i="4"/>
  <c r="AE16" i="4"/>
  <c r="AF16" i="4"/>
  <c r="AY16" i="4"/>
  <c r="H9" i="15"/>
  <c r="H8" i="15"/>
  <c r="H7" i="15"/>
  <c r="H6" i="15"/>
  <c r="H5" i="15"/>
  <c r="H4" i="15"/>
  <c r="DG28" i="10"/>
  <c r="DF28" i="10"/>
  <c r="DG27" i="10"/>
  <c r="DF27" i="10"/>
  <c r="DG26" i="10"/>
  <c r="DF26" i="10"/>
  <c r="DG25" i="10"/>
  <c r="DF25" i="10"/>
  <c r="DG24" i="10"/>
  <c r="DF24" i="10"/>
  <c r="DG23" i="10"/>
  <c r="DF23" i="10"/>
  <c r="DG22" i="10"/>
  <c r="DF22" i="10"/>
  <c r="DG21" i="10"/>
  <c r="DF21" i="10"/>
  <c r="DG20" i="10"/>
  <c r="DF20" i="10"/>
  <c r="DG19" i="10"/>
  <c r="DF19" i="10"/>
  <c r="BI20" i="10"/>
  <c r="BI21" i="10"/>
  <c r="BI22" i="10"/>
  <c r="BI23" i="10"/>
  <c r="BI24" i="10"/>
  <c r="BI25" i="10"/>
  <c r="BI26" i="10"/>
  <c r="BI27" i="10"/>
  <c r="BI28" i="10"/>
  <c r="BI19" i="10"/>
  <c r="BH20" i="10"/>
  <c r="BH21" i="10"/>
  <c r="BH22" i="10"/>
  <c r="BH23" i="10"/>
  <c r="BH24" i="10"/>
  <c r="BH25" i="10"/>
  <c r="BH26" i="10"/>
  <c r="BH27" i="10"/>
  <c r="BH28" i="10"/>
  <c r="BH19" i="10"/>
  <c r="CS28" i="10"/>
  <c r="CR28" i="10"/>
  <c r="CS27" i="10"/>
  <c r="CR27" i="10"/>
  <c r="CS26" i="10"/>
  <c r="CR26" i="10"/>
  <c r="CS25" i="10"/>
  <c r="CR25" i="10"/>
  <c r="CS24" i="10"/>
  <c r="CR24" i="10"/>
  <c r="CS23" i="10"/>
  <c r="CR23" i="10"/>
  <c r="CS22" i="10"/>
  <c r="CR22" i="10"/>
  <c r="CS21" i="10"/>
  <c r="CR21" i="10"/>
  <c r="CS20" i="10"/>
  <c r="CR20" i="10"/>
  <c r="CS19" i="10"/>
  <c r="CR1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CA28" i="10"/>
  <c r="BZ28" i="10"/>
  <c r="CA27" i="10"/>
  <c r="BZ27" i="10"/>
  <c r="CA26" i="10"/>
  <c r="BZ26" i="10"/>
  <c r="CA25" i="10"/>
  <c r="BZ25" i="10"/>
  <c r="CA24" i="10"/>
  <c r="BZ24" i="10"/>
  <c r="CA23" i="10"/>
  <c r="BZ23" i="10"/>
  <c r="CA22" i="10"/>
  <c r="BZ22" i="10"/>
  <c r="CA21" i="10"/>
  <c r="BZ21" i="10"/>
  <c r="CA20" i="10"/>
  <c r="BZ20" i="10"/>
  <c r="CA19" i="10"/>
  <c r="BZ19" i="10"/>
  <c r="H5" i="13" l="1"/>
  <c r="H6" i="13"/>
  <c r="H4" i="13"/>
  <c r="AO55" i="10" l="1"/>
  <c r="AO58" i="10" s="1"/>
  <c r="AO54" i="10"/>
  <c r="AS52" i="10"/>
  <c r="AR52" i="10"/>
  <c r="AQ52" i="10"/>
  <c r="AP52" i="10"/>
  <c r="AO52" i="10"/>
  <c r="AN52" i="10"/>
  <c r="AM52" i="10"/>
  <c r="AS51" i="10"/>
  <c r="AR51" i="10"/>
  <c r="AQ51" i="10"/>
  <c r="AP51" i="10"/>
  <c r="AO51" i="10"/>
  <c r="AN51" i="10"/>
  <c r="AM51" i="10"/>
  <c r="AS50" i="10"/>
  <c r="AR50" i="10"/>
  <c r="AQ50" i="10"/>
  <c r="AP50" i="10"/>
  <c r="AO50" i="10"/>
  <c r="AN50" i="10"/>
  <c r="AM50" i="10"/>
  <c r="AS49" i="10"/>
  <c r="AR49" i="10"/>
  <c r="AQ49" i="10"/>
  <c r="AP49" i="10"/>
  <c r="AO49" i="10"/>
  <c r="AN49" i="10"/>
  <c r="AM49" i="10"/>
  <c r="AS48" i="10"/>
  <c r="AR48" i="10"/>
  <c r="AQ48" i="10"/>
  <c r="AP48" i="10"/>
  <c r="AO48" i="10"/>
  <c r="AN48" i="10"/>
  <c r="AM48" i="10"/>
  <c r="AS47" i="10"/>
  <c r="AR47" i="10"/>
  <c r="AQ47" i="10"/>
  <c r="AP47" i="10"/>
  <c r="AO47" i="10"/>
  <c r="AN47" i="10"/>
  <c r="AM47" i="10"/>
  <c r="AS46" i="10"/>
  <c r="AR46" i="10"/>
  <c r="AQ46" i="10"/>
  <c r="AP46" i="10"/>
  <c r="AO46" i="10"/>
  <c r="AN46" i="10"/>
  <c r="AM46" i="10"/>
  <c r="AS45" i="10"/>
  <c r="AR45" i="10"/>
  <c r="AQ45" i="10"/>
  <c r="AP45" i="10"/>
  <c r="AO45" i="10"/>
  <c r="AN45" i="10"/>
  <c r="AM45" i="10"/>
  <c r="AS44" i="10"/>
  <c r="AR44" i="10"/>
  <c r="AQ44" i="10"/>
  <c r="AP44" i="10"/>
  <c r="AO44" i="10"/>
  <c r="AN44" i="10"/>
  <c r="AM44" i="10"/>
  <c r="AS43" i="10"/>
  <c r="AR43" i="10"/>
  <c r="AQ43" i="10"/>
  <c r="AP43" i="10"/>
  <c r="AO43" i="10"/>
  <c r="AN43" i="10"/>
  <c r="AM43" i="10"/>
  <c r="AN14" i="10"/>
  <c r="AN13" i="10"/>
  <c r="AN12" i="10"/>
  <c r="AN11" i="10"/>
  <c r="AN10" i="10"/>
  <c r="AN9" i="10"/>
  <c r="AN8" i="10"/>
  <c r="AN7" i="10"/>
  <c r="AN6" i="10"/>
  <c r="AN5" i="10"/>
  <c r="AO61" i="10" l="1"/>
  <c r="AO59" i="10"/>
  <c r="AO56" i="10"/>
  <c r="AL36" i="4" l="1"/>
  <c r="AD41" i="4"/>
  <c r="AC41" i="4"/>
  <c r="AL35" i="4"/>
  <c r="AD40" i="4"/>
  <c r="AC40" i="4"/>
  <c r="AL34" i="4"/>
  <c r="AD39" i="4"/>
  <c r="AC39" i="4"/>
  <c r="AL33" i="4"/>
  <c r="AD38" i="4"/>
  <c r="AC38" i="4"/>
  <c r="AL32" i="4"/>
  <c r="AD37" i="4"/>
  <c r="AC37" i="4"/>
  <c r="AL31" i="4"/>
  <c r="AD36" i="4"/>
  <c r="AC36" i="4"/>
  <c r="AL30" i="4"/>
  <c r="AD35" i="4"/>
  <c r="AC35" i="4"/>
  <c r="AL29" i="4"/>
  <c r="AD34" i="4"/>
  <c r="AC34" i="4"/>
  <c r="AL28" i="4"/>
  <c r="AD33" i="4"/>
  <c r="AC33" i="4"/>
  <c r="AL27" i="4"/>
  <c r="AD32" i="4"/>
  <c r="AC32" i="4"/>
  <c r="X55" i="4"/>
  <c r="X58" i="4" s="1"/>
  <c r="X54" i="4"/>
  <c r="AB52" i="4"/>
  <c r="AA52" i="4"/>
  <c r="Z52" i="4"/>
  <c r="Y52" i="4"/>
  <c r="X52" i="4"/>
  <c r="W52" i="4"/>
  <c r="V52" i="4"/>
  <c r="AB51" i="4"/>
  <c r="AA51" i="4"/>
  <c r="Z51" i="4"/>
  <c r="Y51" i="4"/>
  <c r="X51" i="4"/>
  <c r="W51" i="4"/>
  <c r="V51" i="4"/>
  <c r="AB50" i="4"/>
  <c r="AA50" i="4"/>
  <c r="Z50" i="4"/>
  <c r="Y50" i="4"/>
  <c r="X50" i="4"/>
  <c r="W50" i="4"/>
  <c r="V50" i="4"/>
  <c r="AB49" i="4"/>
  <c r="AA49" i="4"/>
  <c r="Z49" i="4"/>
  <c r="Y49" i="4"/>
  <c r="X49" i="4"/>
  <c r="W49" i="4"/>
  <c r="V49" i="4"/>
  <c r="AB48" i="4"/>
  <c r="AA48" i="4"/>
  <c r="Z48" i="4"/>
  <c r="Y48" i="4"/>
  <c r="X48" i="4"/>
  <c r="W48" i="4"/>
  <c r="V48" i="4"/>
  <c r="AB47" i="4"/>
  <c r="AA47" i="4"/>
  <c r="Z47" i="4"/>
  <c r="Y47" i="4"/>
  <c r="X47" i="4"/>
  <c r="W47" i="4"/>
  <c r="V47" i="4"/>
  <c r="AB46" i="4"/>
  <c r="AA46" i="4"/>
  <c r="Z46" i="4"/>
  <c r="Y46" i="4"/>
  <c r="X46" i="4"/>
  <c r="W46" i="4"/>
  <c r="V46" i="4"/>
  <c r="AB45" i="4"/>
  <c r="AA45" i="4"/>
  <c r="Z45" i="4"/>
  <c r="Y45" i="4"/>
  <c r="X45" i="4"/>
  <c r="W45" i="4"/>
  <c r="V45" i="4"/>
  <c r="AB44" i="4"/>
  <c r="AA44" i="4"/>
  <c r="Z44" i="4"/>
  <c r="Y44" i="4"/>
  <c r="X44" i="4"/>
  <c r="W44" i="4"/>
  <c r="V44" i="4"/>
  <c r="AB43" i="4"/>
  <c r="AA43" i="4"/>
  <c r="Z43" i="4"/>
  <c r="Y43" i="4"/>
  <c r="X43" i="4"/>
  <c r="W43" i="4"/>
  <c r="V43" i="4"/>
  <c r="X59" i="4" l="1"/>
  <c r="X56" i="4"/>
  <c r="BC55" i="10"/>
  <c r="BC58" i="10" s="1"/>
  <c r="BC61" i="10" s="1"/>
  <c r="BC54" i="10"/>
  <c r="BG52" i="10"/>
  <c r="BF52" i="10"/>
  <c r="BE52" i="10"/>
  <c r="BD52" i="10"/>
  <c r="BC52" i="10"/>
  <c r="BB52" i="10"/>
  <c r="BA52" i="10"/>
  <c r="BG51" i="10"/>
  <c r="BF51" i="10"/>
  <c r="BE51" i="10"/>
  <c r="BD51" i="10"/>
  <c r="BC51" i="10"/>
  <c r="BB51" i="10"/>
  <c r="BA51" i="10"/>
  <c r="BG50" i="10"/>
  <c r="BF50" i="10"/>
  <c r="BE50" i="10"/>
  <c r="BD50" i="10"/>
  <c r="BC50" i="10"/>
  <c r="BB50" i="10"/>
  <c r="BA50" i="10"/>
  <c r="BG49" i="10"/>
  <c r="BF49" i="10"/>
  <c r="BE49" i="10"/>
  <c r="BD49" i="10"/>
  <c r="BC49" i="10"/>
  <c r="BB49" i="10"/>
  <c r="BA49" i="10"/>
  <c r="BG48" i="10"/>
  <c r="BF48" i="10"/>
  <c r="BE48" i="10"/>
  <c r="BD48" i="10"/>
  <c r="BC48" i="10"/>
  <c r="BB48" i="10"/>
  <c r="BA48" i="10"/>
  <c r="BG47" i="10"/>
  <c r="BF47" i="10"/>
  <c r="BE47" i="10"/>
  <c r="BD47" i="10"/>
  <c r="BC47" i="10"/>
  <c r="BB47" i="10"/>
  <c r="BA47" i="10"/>
  <c r="BG46" i="10"/>
  <c r="BF46" i="10"/>
  <c r="BE46" i="10"/>
  <c r="BD46" i="10"/>
  <c r="BC46" i="10"/>
  <c r="BB46" i="10"/>
  <c r="BA46" i="10"/>
  <c r="BG45" i="10"/>
  <c r="BF45" i="10"/>
  <c r="BE45" i="10"/>
  <c r="BD45" i="10"/>
  <c r="BC45" i="10"/>
  <c r="BB45" i="10"/>
  <c r="BA45" i="10"/>
  <c r="BG44" i="10"/>
  <c r="BF44" i="10"/>
  <c r="BE44" i="10"/>
  <c r="BD44" i="10"/>
  <c r="BC44" i="10"/>
  <c r="BB44" i="10"/>
  <c r="BA44" i="10"/>
  <c r="BG43" i="10"/>
  <c r="BF43" i="10"/>
  <c r="BE43" i="10"/>
  <c r="BD43" i="10"/>
  <c r="BC43" i="10"/>
  <c r="BB43" i="10"/>
  <c r="BA43" i="10"/>
  <c r="BB14" i="10"/>
  <c r="BB13" i="10"/>
  <c r="BB12" i="10"/>
  <c r="BB11" i="10"/>
  <c r="BB10" i="10"/>
  <c r="BB9" i="10"/>
  <c r="BB8" i="10"/>
  <c r="BB7" i="10"/>
  <c r="BB6" i="10"/>
  <c r="BB5" i="10"/>
  <c r="BC56" i="10" l="1"/>
  <c r="BC59" i="10"/>
  <c r="AD33" i="10" l="1"/>
  <c r="AD34" i="10"/>
  <c r="AD35" i="10"/>
  <c r="AD36" i="10"/>
  <c r="AD37" i="10"/>
  <c r="AD38" i="10"/>
  <c r="AD39" i="10"/>
  <c r="AD40" i="10"/>
  <c r="AD41" i="10"/>
  <c r="AD32" i="10"/>
  <c r="AD30" i="10" l="1"/>
  <c r="AE44" i="10"/>
  <c r="AE45" i="10"/>
  <c r="AE46" i="10"/>
  <c r="AE47" i="10"/>
  <c r="AE48" i="10"/>
  <c r="AE49" i="10"/>
  <c r="AE50" i="10"/>
  <c r="AE51" i="10"/>
  <c r="AE52" i="10"/>
  <c r="AE43" i="10"/>
  <c r="AW6" i="4" l="1"/>
  <c r="AW7" i="4"/>
  <c r="AW8" i="4"/>
  <c r="AW9" i="4"/>
  <c r="AW10" i="4"/>
  <c r="AW11" i="4"/>
  <c r="AW12" i="4"/>
  <c r="AW13" i="4"/>
  <c r="AW14" i="4"/>
  <c r="AW5" i="4"/>
  <c r="AW3" i="4"/>
  <c r="AQ55" i="4"/>
  <c r="AQ58" i="4" s="1"/>
  <c r="AQ54" i="4"/>
  <c r="AU52" i="4"/>
  <c r="AT52" i="4"/>
  <c r="AS52" i="4"/>
  <c r="AR52" i="4"/>
  <c r="AQ52" i="4"/>
  <c r="AP52" i="4"/>
  <c r="AO52" i="4"/>
  <c r="AU51" i="4"/>
  <c r="AT51" i="4"/>
  <c r="AS51" i="4"/>
  <c r="AR51" i="4"/>
  <c r="AQ51" i="4"/>
  <c r="AP51" i="4"/>
  <c r="AO51" i="4"/>
  <c r="AU50" i="4"/>
  <c r="AT50" i="4"/>
  <c r="AS50" i="4"/>
  <c r="AR50" i="4"/>
  <c r="AQ50" i="4"/>
  <c r="AP50" i="4"/>
  <c r="AO50" i="4"/>
  <c r="AU49" i="4"/>
  <c r="AT49" i="4"/>
  <c r="AS49" i="4"/>
  <c r="AR49" i="4"/>
  <c r="AQ49" i="4"/>
  <c r="AP49" i="4"/>
  <c r="AO49" i="4"/>
  <c r="AU48" i="4"/>
  <c r="AT48" i="4"/>
  <c r="AS48" i="4"/>
  <c r="AR48" i="4"/>
  <c r="AQ48" i="4"/>
  <c r="AP48" i="4"/>
  <c r="AO48" i="4"/>
  <c r="AU47" i="4"/>
  <c r="AT47" i="4"/>
  <c r="AS47" i="4"/>
  <c r="AR47" i="4"/>
  <c r="AQ47" i="4"/>
  <c r="AP47" i="4"/>
  <c r="AO47" i="4"/>
  <c r="AU46" i="4"/>
  <c r="AT46" i="4"/>
  <c r="AS46" i="4"/>
  <c r="AR46" i="4"/>
  <c r="AQ46" i="4"/>
  <c r="AP46" i="4"/>
  <c r="AO46" i="4"/>
  <c r="AU45" i="4"/>
  <c r="AT45" i="4"/>
  <c r="AS45" i="4"/>
  <c r="AR45" i="4"/>
  <c r="AQ45" i="4"/>
  <c r="AP45" i="4"/>
  <c r="AO45" i="4"/>
  <c r="AU44" i="4"/>
  <c r="AT44" i="4"/>
  <c r="AS44" i="4"/>
  <c r="AR44" i="4"/>
  <c r="AQ44" i="4"/>
  <c r="AP44" i="4"/>
  <c r="AO44" i="4"/>
  <c r="AU43" i="4"/>
  <c r="AT43" i="4"/>
  <c r="AS43" i="4"/>
  <c r="AR43" i="4"/>
  <c r="AQ43" i="4"/>
  <c r="AP43" i="4"/>
  <c r="AO43" i="4"/>
  <c r="BE36" i="4"/>
  <c r="AW41" i="4"/>
  <c r="AV41" i="4"/>
  <c r="BE35" i="4"/>
  <c r="AW40" i="4"/>
  <c r="AV40" i="4"/>
  <c r="BE34" i="4"/>
  <c r="AW39" i="4"/>
  <c r="AV39" i="4"/>
  <c r="BE33" i="4"/>
  <c r="AW38" i="4"/>
  <c r="AV38" i="4"/>
  <c r="BE32" i="4"/>
  <c r="AW37" i="4"/>
  <c r="AV37" i="4"/>
  <c r="BE31" i="4"/>
  <c r="AW36" i="4"/>
  <c r="AV36" i="4"/>
  <c r="BE30" i="4"/>
  <c r="AW35" i="4"/>
  <c r="AV35" i="4"/>
  <c r="BE29" i="4"/>
  <c r="AW34" i="4"/>
  <c r="AV34" i="4"/>
  <c r="BE28" i="4"/>
  <c r="AW33" i="4"/>
  <c r="AV33" i="4"/>
  <c r="BE27" i="4"/>
  <c r="AW32" i="4"/>
  <c r="AV32" i="4"/>
  <c r="AQ59" i="4" l="1"/>
  <c r="AQ56" i="4"/>
  <c r="K33" i="4" l="1"/>
  <c r="K34" i="4"/>
  <c r="K35" i="4"/>
  <c r="K36" i="4"/>
  <c r="K37" i="4"/>
  <c r="K38" i="4"/>
  <c r="K39" i="4"/>
  <c r="K40" i="4"/>
  <c r="K41" i="4"/>
  <c r="K32" i="4"/>
  <c r="J33" i="4"/>
  <c r="J34" i="4"/>
  <c r="J35" i="4"/>
  <c r="J36" i="4"/>
  <c r="J37" i="4"/>
  <c r="J38" i="4"/>
  <c r="J39" i="4"/>
  <c r="J40" i="4"/>
  <c r="J41" i="4"/>
  <c r="J32" i="4"/>
  <c r="E55" i="4" l="1"/>
  <c r="E58" i="4" s="1"/>
  <c r="E54" i="4"/>
  <c r="I52" i="4"/>
  <c r="H52" i="4"/>
  <c r="G52" i="4"/>
  <c r="F52" i="4"/>
  <c r="E52" i="4"/>
  <c r="D52" i="4"/>
  <c r="C52" i="4"/>
  <c r="I51" i="4"/>
  <c r="H51" i="4"/>
  <c r="G51" i="4"/>
  <c r="F51" i="4"/>
  <c r="E51" i="4"/>
  <c r="D51" i="4"/>
  <c r="C51" i="4"/>
  <c r="I50" i="4"/>
  <c r="H50" i="4"/>
  <c r="G50" i="4"/>
  <c r="F50" i="4"/>
  <c r="E50" i="4"/>
  <c r="D50" i="4"/>
  <c r="C50" i="4"/>
  <c r="I49" i="4"/>
  <c r="H49" i="4"/>
  <c r="G49" i="4"/>
  <c r="F49" i="4"/>
  <c r="E49" i="4"/>
  <c r="D49" i="4"/>
  <c r="C49" i="4"/>
  <c r="I48" i="4"/>
  <c r="H48" i="4"/>
  <c r="G48" i="4"/>
  <c r="F48" i="4"/>
  <c r="E48" i="4"/>
  <c r="D48" i="4"/>
  <c r="C48" i="4"/>
  <c r="I47" i="4"/>
  <c r="H47" i="4"/>
  <c r="G47" i="4"/>
  <c r="F47" i="4"/>
  <c r="E47" i="4"/>
  <c r="D47" i="4"/>
  <c r="C47" i="4"/>
  <c r="I46" i="4"/>
  <c r="H46" i="4"/>
  <c r="G46" i="4"/>
  <c r="F46" i="4"/>
  <c r="E46" i="4"/>
  <c r="D46" i="4"/>
  <c r="C46" i="4"/>
  <c r="I45" i="4"/>
  <c r="H45" i="4"/>
  <c r="G45" i="4"/>
  <c r="F45" i="4"/>
  <c r="E45" i="4"/>
  <c r="D45" i="4"/>
  <c r="C45" i="4"/>
  <c r="I44" i="4"/>
  <c r="H44" i="4"/>
  <c r="G44" i="4"/>
  <c r="F44" i="4"/>
  <c r="E44" i="4"/>
  <c r="D44" i="4"/>
  <c r="C44" i="4"/>
  <c r="I43" i="4"/>
  <c r="H43" i="4"/>
  <c r="G43" i="4"/>
  <c r="F43" i="4"/>
  <c r="E43" i="4"/>
  <c r="D43" i="4"/>
  <c r="C43" i="4"/>
  <c r="L41" i="4"/>
  <c r="L40" i="4"/>
  <c r="N40" i="4" s="1"/>
  <c r="O40" i="4" s="1"/>
  <c r="P40" i="4" s="1"/>
  <c r="L39" i="4"/>
  <c r="L38" i="4"/>
  <c r="N38" i="4" s="1"/>
  <c r="O38" i="4" s="1"/>
  <c r="P38" i="4" s="1"/>
  <c r="L37" i="4"/>
  <c r="L36" i="4"/>
  <c r="N36" i="4" s="1"/>
  <c r="O36" i="4" s="1"/>
  <c r="P36" i="4" s="1"/>
  <c r="L35" i="4"/>
  <c r="N35" i="4" s="1"/>
  <c r="O35" i="4" s="1"/>
  <c r="P35" i="4" s="1"/>
  <c r="L34" i="4"/>
  <c r="L33" i="4"/>
  <c r="L32" i="4"/>
  <c r="AE41" i="10"/>
  <c r="AE40" i="10"/>
  <c r="AE39" i="10"/>
  <c r="AE38" i="10"/>
  <c r="AE37" i="10"/>
  <c r="AE36" i="10"/>
  <c r="AE35" i="10"/>
  <c r="AE34" i="10"/>
  <c r="AE33" i="10"/>
  <c r="AE32" i="10"/>
  <c r="L41" i="11"/>
  <c r="L40" i="11"/>
  <c r="L39" i="11"/>
  <c r="L38" i="11"/>
  <c r="L37" i="11"/>
  <c r="L36" i="11"/>
  <c r="L35" i="11"/>
  <c r="L34" i="11"/>
  <c r="L33" i="11"/>
  <c r="L32" i="11"/>
  <c r="L10" i="4" l="1"/>
  <c r="M10" i="4" s="1"/>
  <c r="N37" i="4"/>
  <c r="O37" i="4" s="1"/>
  <c r="P37" i="4" s="1"/>
  <c r="L12" i="4"/>
  <c r="M12" i="4" s="1"/>
  <c r="N39" i="4"/>
  <c r="O39" i="4" s="1"/>
  <c r="P39" i="4" s="1"/>
  <c r="N32" i="4"/>
  <c r="O32" i="4" s="1"/>
  <c r="P32" i="4" s="1"/>
  <c r="L30" i="4"/>
  <c r="L5" i="4"/>
  <c r="M5" i="4" s="1"/>
  <c r="L6" i="4"/>
  <c r="M6" i="4" s="1"/>
  <c r="N33" i="4"/>
  <c r="O33" i="4" s="1"/>
  <c r="P33" i="4" s="1"/>
  <c r="L14" i="4"/>
  <c r="M14" i="4" s="1"/>
  <c r="N41" i="4"/>
  <c r="O41" i="4" s="1"/>
  <c r="P41" i="4" s="1"/>
  <c r="CK37" i="4"/>
  <c r="CK38" i="4"/>
  <c r="CK36" i="4"/>
  <c r="CK34" i="4"/>
  <c r="CK41" i="4"/>
  <c r="CK40" i="4"/>
  <c r="S31" i="4"/>
  <c r="L9" i="4"/>
  <c r="M9" i="4" s="1"/>
  <c r="S33" i="4"/>
  <c r="L11" i="4"/>
  <c r="M11" i="4" s="1"/>
  <c r="S35" i="4"/>
  <c r="L13" i="4"/>
  <c r="M13" i="4" s="1"/>
  <c r="S29" i="4"/>
  <c r="L7" i="4"/>
  <c r="M7" i="4" s="1"/>
  <c r="L8" i="4"/>
  <c r="M8" i="4" s="1"/>
  <c r="S34" i="4"/>
  <c r="S27" i="4"/>
  <c r="S28" i="4"/>
  <c r="S30" i="4"/>
  <c r="S32" i="4"/>
  <c r="S36" i="4"/>
  <c r="AG37" i="10"/>
  <c r="BN37" i="3" s="1"/>
  <c r="AG38" i="10"/>
  <c r="BN38" i="3" s="1"/>
  <c r="AG36" i="10"/>
  <c r="BN36" i="3" s="1"/>
  <c r="AG40" i="10"/>
  <c r="BN40" i="3" s="1"/>
  <c r="AG41" i="10"/>
  <c r="BN41" i="3" s="1"/>
  <c r="AG34" i="10"/>
  <c r="AF35" i="10"/>
  <c r="AG35" i="10"/>
  <c r="AF32" i="10"/>
  <c r="AG32" i="10"/>
  <c r="AF39" i="10"/>
  <c r="AG39" i="10"/>
  <c r="BN39" i="3" s="1"/>
  <c r="AF33" i="10"/>
  <c r="AG33" i="10"/>
  <c r="AF37" i="10"/>
  <c r="AF38" i="10"/>
  <c r="AF40" i="10"/>
  <c r="AF36" i="10"/>
  <c r="AF41" i="10"/>
  <c r="AF34" i="10"/>
  <c r="E59" i="4"/>
  <c r="E56" i="4"/>
  <c r="AT35" i="3" l="1"/>
  <c r="BN35" i="3"/>
  <c r="AT34" i="3"/>
  <c r="BN34" i="3"/>
  <c r="AT36" i="3"/>
  <c r="AT41" i="3"/>
  <c r="AT38" i="3"/>
  <c r="AT39" i="3"/>
  <c r="AT40" i="3"/>
  <c r="AT37" i="3"/>
  <c r="L16" i="4"/>
  <c r="M16" i="4"/>
  <c r="CM33" i="4"/>
  <c r="CM32" i="4"/>
  <c r="AH43" i="10"/>
  <c r="CM36" i="4" l="1"/>
  <c r="CM39" i="4"/>
  <c r="CM35" i="4"/>
  <c r="CM37" i="4" l="1"/>
  <c r="CM38" i="4"/>
  <c r="CM41" i="4"/>
  <c r="CM34" i="4"/>
  <c r="CM40" i="4"/>
  <c r="E55" i="11"/>
  <c r="E58" i="11" s="1"/>
  <c r="E54" i="11"/>
  <c r="I52" i="11"/>
  <c r="H52" i="11"/>
  <c r="G52" i="11"/>
  <c r="F52" i="11"/>
  <c r="E52" i="11"/>
  <c r="D52" i="11"/>
  <c r="C52" i="11"/>
  <c r="I51" i="11"/>
  <c r="H51" i="11"/>
  <c r="G51" i="11"/>
  <c r="F51" i="11"/>
  <c r="E51" i="11"/>
  <c r="D51" i="11"/>
  <c r="C51" i="11"/>
  <c r="I50" i="11"/>
  <c r="H50" i="11"/>
  <c r="G50" i="11"/>
  <c r="F50" i="11"/>
  <c r="E50" i="11"/>
  <c r="D50" i="11"/>
  <c r="C50" i="11"/>
  <c r="I49" i="11"/>
  <c r="H49" i="11"/>
  <c r="G49" i="11"/>
  <c r="F49" i="11"/>
  <c r="E49" i="11"/>
  <c r="D49" i="11"/>
  <c r="C49" i="11"/>
  <c r="I48" i="11"/>
  <c r="H48" i="11"/>
  <c r="G48" i="11"/>
  <c r="F48" i="11"/>
  <c r="E48" i="11"/>
  <c r="D48" i="11"/>
  <c r="C48" i="11"/>
  <c r="I47" i="11"/>
  <c r="H47" i="11"/>
  <c r="G47" i="11"/>
  <c r="F47" i="11"/>
  <c r="E47" i="11"/>
  <c r="D47" i="11"/>
  <c r="C47" i="11"/>
  <c r="I46" i="11"/>
  <c r="H46" i="11"/>
  <c r="G46" i="11"/>
  <c r="F46" i="11"/>
  <c r="E46" i="11"/>
  <c r="D46" i="11"/>
  <c r="C46" i="11"/>
  <c r="I45" i="11"/>
  <c r="H45" i="11"/>
  <c r="G45" i="11"/>
  <c r="F45" i="11"/>
  <c r="E45" i="11"/>
  <c r="D45" i="11"/>
  <c r="C45" i="11"/>
  <c r="I44" i="11"/>
  <c r="H44" i="11"/>
  <c r="G44" i="11"/>
  <c r="F44" i="11"/>
  <c r="E44" i="11"/>
  <c r="D44" i="11"/>
  <c r="C44" i="11"/>
  <c r="I43" i="11"/>
  <c r="H43" i="11"/>
  <c r="G43" i="11"/>
  <c r="F43" i="11"/>
  <c r="E43" i="11"/>
  <c r="D43" i="11"/>
  <c r="C43" i="11"/>
  <c r="K41" i="11"/>
  <c r="J41" i="11"/>
  <c r="K40" i="11"/>
  <c r="J40" i="11"/>
  <c r="K39" i="11"/>
  <c r="J39" i="11"/>
  <c r="K38" i="11"/>
  <c r="J38" i="11"/>
  <c r="K37" i="11"/>
  <c r="J37" i="11"/>
  <c r="K36" i="11"/>
  <c r="J36" i="11"/>
  <c r="K35" i="11"/>
  <c r="J35" i="11"/>
  <c r="K34" i="11"/>
  <c r="J34" i="11"/>
  <c r="K33" i="11"/>
  <c r="J33" i="11"/>
  <c r="K32" i="11"/>
  <c r="J32" i="11"/>
  <c r="E59" i="11" l="1"/>
  <c r="E56" i="11"/>
  <c r="DA55" i="10"/>
  <c r="CM55" i="10"/>
  <c r="CM58" i="10" s="1"/>
  <c r="CM61" i="10" s="1"/>
  <c r="W55" i="10"/>
  <c r="W58" i="10" s="1"/>
  <c r="W61" i="10" s="1"/>
  <c r="BU55" i="10"/>
  <c r="BU58" i="10" s="1"/>
  <c r="BU61" i="10" s="1"/>
  <c r="DA54" i="10"/>
  <c r="CM54" i="10"/>
  <c r="W54" i="10"/>
  <c r="BU54" i="10"/>
  <c r="DE52" i="10"/>
  <c r="DD52" i="10"/>
  <c r="DC52" i="10"/>
  <c r="DB52" i="10"/>
  <c r="DA52" i="10"/>
  <c r="CZ52" i="10"/>
  <c r="CY52" i="10"/>
  <c r="CQ52" i="10"/>
  <c r="CP52" i="10"/>
  <c r="CO52" i="10"/>
  <c r="CN52" i="10"/>
  <c r="CM52" i="10"/>
  <c r="CL52" i="10"/>
  <c r="CK52" i="10"/>
  <c r="AA52" i="10"/>
  <c r="Z52" i="10"/>
  <c r="Y52" i="10"/>
  <c r="X52" i="10"/>
  <c r="W52" i="10"/>
  <c r="V52" i="10"/>
  <c r="U52" i="10"/>
  <c r="BY52" i="10"/>
  <c r="BX52" i="10"/>
  <c r="BW52" i="10"/>
  <c r="BV52" i="10"/>
  <c r="BU52" i="10"/>
  <c r="BT52" i="10"/>
  <c r="BS52" i="10"/>
  <c r="DE51" i="10"/>
  <c r="DD51" i="10"/>
  <c r="DC51" i="10"/>
  <c r="DB51" i="10"/>
  <c r="DA51" i="10"/>
  <c r="CZ51" i="10"/>
  <c r="CY51" i="10"/>
  <c r="CQ51" i="10"/>
  <c r="CP51" i="10"/>
  <c r="CO51" i="10"/>
  <c r="CN51" i="10"/>
  <c r="CM51" i="10"/>
  <c r="CL51" i="10"/>
  <c r="CK51" i="10"/>
  <c r="AA51" i="10"/>
  <c r="Z51" i="10"/>
  <c r="Y51" i="10"/>
  <c r="X51" i="10"/>
  <c r="W51" i="10"/>
  <c r="V51" i="10"/>
  <c r="U51" i="10"/>
  <c r="BY51" i="10"/>
  <c r="BX51" i="10"/>
  <c r="BW51" i="10"/>
  <c r="BV51" i="10"/>
  <c r="BU51" i="10"/>
  <c r="BT51" i="10"/>
  <c r="BS51" i="10"/>
  <c r="DE50" i="10"/>
  <c r="DD50" i="10"/>
  <c r="DC50" i="10"/>
  <c r="DB50" i="10"/>
  <c r="DA50" i="10"/>
  <c r="CZ50" i="10"/>
  <c r="CY50" i="10"/>
  <c r="CQ50" i="10"/>
  <c r="CP50" i="10"/>
  <c r="CO50" i="10"/>
  <c r="CN50" i="10"/>
  <c r="CM50" i="10"/>
  <c r="CL50" i="10"/>
  <c r="CK50" i="10"/>
  <c r="AA50" i="10"/>
  <c r="Z50" i="10"/>
  <c r="Y50" i="10"/>
  <c r="X50" i="10"/>
  <c r="W50" i="10"/>
  <c r="V50" i="10"/>
  <c r="U50" i="10"/>
  <c r="BY50" i="10"/>
  <c r="BX50" i="10"/>
  <c r="BW50" i="10"/>
  <c r="BV50" i="10"/>
  <c r="BU50" i="10"/>
  <c r="BT50" i="10"/>
  <c r="BS50" i="10"/>
  <c r="DE49" i="10"/>
  <c r="DD49" i="10"/>
  <c r="DC49" i="10"/>
  <c r="DB49" i="10"/>
  <c r="DA49" i="10"/>
  <c r="CZ49" i="10"/>
  <c r="CY49" i="10"/>
  <c r="CQ49" i="10"/>
  <c r="CP49" i="10"/>
  <c r="CO49" i="10"/>
  <c r="CN49" i="10"/>
  <c r="CM49" i="10"/>
  <c r="CL49" i="10"/>
  <c r="CK49" i="10"/>
  <c r="AA49" i="10"/>
  <c r="Z49" i="10"/>
  <c r="Y49" i="10"/>
  <c r="X49" i="10"/>
  <c r="W49" i="10"/>
  <c r="V49" i="10"/>
  <c r="U49" i="10"/>
  <c r="BY49" i="10"/>
  <c r="BX49" i="10"/>
  <c r="BW49" i="10"/>
  <c r="BV49" i="10"/>
  <c r="BU49" i="10"/>
  <c r="BT49" i="10"/>
  <c r="BS49" i="10"/>
  <c r="DE48" i="10"/>
  <c r="DD48" i="10"/>
  <c r="DC48" i="10"/>
  <c r="DB48" i="10"/>
  <c r="DA48" i="10"/>
  <c r="CZ48" i="10"/>
  <c r="CY48" i="10"/>
  <c r="CQ48" i="10"/>
  <c r="CP48" i="10"/>
  <c r="CO48" i="10"/>
  <c r="CN48" i="10"/>
  <c r="CM48" i="10"/>
  <c r="CL48" i="10"/>
  <c r="CK48" i="10"/>
  <c r="AA48" i="10"/>
  <c r="Z48" i="10"/>
  <c r="Y48" i="10"/>
  <c r="X48" i="10"/>
  <c r="W48" i="10"/>
  <c r="V48" i="10"/>
  <c r="U48" i="10"/>
  <c r="BY48" i="10"/>
  <c r="BX48" i="10"/>
  <c r="BW48" i="10"/>
  <c r="BV48" i="10"/>
  <c r="BU48" i="10"/>
  <c r="BT48" i="10"/>
  <c r="BS48" i="10"/>
  <c r="DE47" i="10"/>
  <c r="DD47" i="10"/>
  <c r="DC47" i="10"/>
  <c r="DB47" i="10"/>
  <c r="DA47" i="10"/>
  <c r="CZ47" i="10"/>
  <c r="CY47" i="10"/>
  <c r="CQ47" i="10"/>
  <c r="CP47" i="10"/>
  <c r="CO47" i="10"/>
  <c r="CN47" i="10"/>
  <c r="CM47" i="10"/>
  <c r="CL47" i="10"/>
  <c r="CK47" i="10"/>
  <c r="AA47" i="10"/>
  <c r="Z47" i="10"/>
  <c r="Y47" i="10"/>
  <c r="X47" i="10"/>
  <c r="W47" i="10"/>
  <c r="V47" i="10"/>
  <c r="U47" i="10"/>
  <c r="BY47" i="10"/>
  <c r="BX47" i="10"/>
  <c r="BW47" i="10"/>
  <c r="BV47" i="10"/>
  <c r="BU47" i="10"/>
  <c r="BT47" i="10"/>
  <c r="BS47" i="10"/>
  <c r="DE46" i="10"/>
  <c r="DD46" i="10"/>
  <c r="DC46" i="10"/>
  <c r="DB46" i="10"/>
  <c r="DA46" i="10"/>
  <c r="CZ46" i="10"/>
  <c r="CY46" i="10"/>
  <c r="CQ46" i="10"/>
  <c r="CP46" i="10"/>
  <c r="CO46" i="10"/>
  <c r="CN46" i="10"/>
  <c r="CM46" i="10"/>
  <c r="CL46" i="10"/>
  <c r="CK46" i="10"/>
  <c r="AA46" i="10"/>
  <c r="Z46" i="10"/>
  <c r="Y46" i="10"/>
  <c r="X46" i="10"/>
  <c r="W46" i="10"/>
  <c r="V46" i="10"/>
  <c r="U46" i="10"/>
  <c r="BY46" i="10"/>
  <c r="BX46" i="10"/>
  <c r="BW46" i="10"/>
  <c r="BV46" i="10"/>
  <c r="BU46" i="10"/>
  <c r="BT46" i="10"/>
  <c r="BS46" i="10"/>
  <c r="DE45" i="10"/>
  <c r="DD45" i="10"/>
  <c r="DC45" i="10"/>
  <c r="DB45" i="10"/>
  <c r="DA45" i="10"/>
  <c r="CZ45" i="10"/>
  <c r="CY45" i="10"/>
  <c r="CQ45" i="10"/>
  <c r="CP45" i="10"/>
  <c r="CO45" i="10"/>
  <c r="CN45" i="10"/>
  <c r="CM45" i="10"/>
  <c r="CL45" i="10"/>
  <c r="CK45" i="10"/>
  <c r="AA45" i="10"/>
  <c r="Z45" i="10"/>
  <c r="Y45" i="10"/>
  <c r="X45" i="10"/>
  <c r="W45" i="10"/>
  <c r="V45" i="10"/>
  <c r="U45" i="10"/>
  <c r="BY45" i="10"/>
  <c r="BX45" i="10"/>
  <c r="BW45" i="10"/>
  <c r="BV45" i="10"/>
  <c r="BU45" i="10"/>
  <c r="BT45" i="10"/>
  <c r="BS45" i="10"/>
  <c r="DE44" i="10"/>
  <c r="DD44" i="10"/>
  <c r="DC44" i="10"/>
  <c r="DB44" i="10"/>
  <c r="DA44" i="10"/>
  <c r="CZ44" i="10"/>
  <c r="CY44" i="10"/>
  <c r="CQ44" i="10"/>
  <c r="CP44" i="10"/>
  <c r="CO44" i="10"/>
  <c r="CN44" i="10"/>
  <c r="CM44" i="10"/>
  <c r="CL44" i="10"/>
  <c r="CK44" i="10"/>
  <c r="AA44" i="10"/>
  <c r="Z44" i="10"/>
  <c r="Y44" i="10"/>
  <c r="X44" i="10"/>
  <c r="W44" i="10"/>
  <c r="V44" i="10"/>
  <c r="U44" i="10"/>
  <c r="BY44" i="10"/>
  <c r="BX44" i="10"/>
  <c r="BW44" i="10"/>
  <c r="BV44" i="10"/>
  <c r="BU44" i="10"/>
  <c r="BT44" i="10"/>
  <c r="BS44" i="10"/>
  <c r="DE43" i="10"/>
  <c r="DD43" i="10"/>
  <c r="DC43" i="10"/>
  <c r="DB43" i="10"/>
  <c r="DA43" i="10"/>
  <c r="CZ43" i="10"/>
  <c r="CY43" i="10"/>
  <c r="CQ43" i="10"/>
  <c r="CP43" i="10"/>
  <c r="CO43" i="10"/>
  <c r="CN43" i="10"/>
  <c r="CM43" i="10"/>
  <c r="CL43" i="10"/>
  <c r="CK43" i="10"/>
  <c r="AA43" i="10"/>
  <c r="Z43" i="10"/>
  <c r="Y43" i="10"/>
  <c r="X43" i="10"/>
  <c r="W43" i="10"/>
  <c r="V43" i="10"/>
  <c r="U43" i="10"/>
  <c r="BY43" i="10"/>
  <c r="BX43" i="10"/>
  <c r="BW43" i="10"/>
  <c r="BV43" i="10"/>
  <c r="BU43" i="10"/>
  <c r="BT43" i="10"/>
  <c r="BS43" i="10"/>
  <c r="DG41" i="10"/>
  <c r="DF41" i="10"/>
  <c r="CS41" i="10"/>
  <c r="CR41" i="10"/>
  <c r="AC41" i="10"/>
  <c r="AB41" i="10"/>
  <c r="CA41" i="10"/>
  <c r="BZ41" i="10"/>
  <c r="DG40" i="10"/>
  <c r="DF40" i="10"/>
  <c r="CS40" i="10"/>
  <c r="CR40" i="10"/>
  <c r="AC40" i="10"/>
  <c r="AB40" i="10"/>
  <c r="CA40" i="10"/>
  <c r="BZ40" i="10"/>
  <c r="DG39" i="10"/>
  <c r="DF39" i="10"/>
  <c r="CS39" i="10"/>
  <c r="CR39" i="10"/>
  <c r="AC39" i="10"/>
  <c r="AB39" i="10"/>
  <c r="CA39" i="10"/>
  <c r="BZ39" i="10"/>
  <c r="DG38" i="10"/>
  <c r="DF38" i="10"/>
  <c r="CS38" i="10"/>
  <c r="CR38" i="10"/>
  <c r="AC38" i="10"/>
  <c r="AB38" i="10"/>
  <c r="CA38" i="10"/>
  <c r="BZ38" i="10"/>
  <c r="DG37" i="10"/>
  <c r="DF37" i="10"/>
  <c r="CS37" i="10"/>
  <c r="CR37" i="10"/>
  <c r="AC37" i="10"/>
  <c r="AB37" i="10"/>
  <c r="CA37" i="10"/>
  <c r="BZ37" i="10"/>
  <c r="DG36" i="10"/>
  <c r="DF36" i="10"/>
  <c r="CS36" i="10"/>
  <c r="CR36" i="10"/>
  <c r="AC36" i="10"/>
  <c r="AB36" i="10"/>
  <c r="CA36" i="10"/>
  <c r="BZ36" i="10"/>
  <c r="DG35" i="10"/>
  <c r="DF35" i="10"/>
  <c r="CS35" i="10"/>
  <c r="CR35" i="10"/>
  <c r="AC35" i="10"/>
  <c r="AB35" i="10"/>
  <c r="CA35" i="10"/>
  <c r="BZ35" i="10"/>
  <c r="DG34" i="10"/>
  <c r="DF34" i="10"/>
  <c r="CS34" i="10"/>
  <c r="CR34" i="10"/>
  <c r="AC34" i="10"/>
  <c r="AB34" i="10"/>
  <c r="CA34" i="10"/>
  <c r="BZ34" i="10"/>
  <c r="DG33" i="10"/>
  <c r="DF33" i="10"/>
  <c r="CS33" i="10"/>
  <c r="CR33" i="10"/>
  <c r="AC33" i="10"/>
  <c r="AB33" i="10"/>
  <c r="CA33" i="10"/>
  <c r="BZ33" i="10"/>
  <c r="DG32" i="10"/>
  <c r="DF32" i="10"/>
  <c r="CS32" i="10"/>
  <c r="CR32" i="10"/>
  <c r="AC32" i="10"/>
  <c r="AB32" i="10"/>
  <c r="CA32" i="10"/>
  <c r="BZ32" i="10"/>
  <c r="CZ14" i="10"/>
  <c r="CL14" i="10"/>
  <c r="V14" i="10"/>
  <c r="BT14" i="10"/>
  <c r="CZ13" i="10"/>
  <c r="CL13" i="10"/>
  <c r="V13" i="10"/>
  <c r="BT13" i="10"/>
  <c r="CZ12" i="10"/>
  <c r="CL12" i="10"/>
  <c r="V12" i="10"/>
  <c r="BT12" i="10"/>
  <c r="CZ11" i="10"/>
  <c r="CL11" i="10"/>
  <c r="V11" i="10"/>
  <c r="BT11" i="10"/>
  <c r="CZ10" i="10"/>
  <c r="CL10" i="10"/>
  <c r="V10" i="10"/>
  <c r="BT10" i="10"/>
  <c r="CZ9" i="10"/>
  <c r="CL9" i="10"/>
  <c r="V9" i="10"/>
  <c r="BT9" i="10"/>
  <c r="CZ8" i="10"/>
  <c r="CL8" i="10"/>
  <c r="V8" i="10"/>
  <c r="BT8" i="10"/>
  <c r="CZ7" i="10"/>
  <c r="CL7" i="10"/>
  <c r="V7" i="10"/>
  <c r="BT7" i="10"/>
  <c r="CZ6" i="10"/>
  <c r="CL6" i="10"/>
  <c r="V6" i="10"/>
  <c r="BT6" i="10"/>
  <c r="CZ5" i="10"/>
  <c r="CL5" i="10"/>
  <c r="V5" i="10"/>
  <c r="BT5" i="10"/>
  <c r="DA56" i="10" l="1"/>
  <c r="BU56" i="10"/>
  <c r="W56" i="10"/>
  <c r="BU59" i="10"/>
  <c r="W59" i="10"/>
  <c r="CM59" i="10"/>
  <c r="DA58" i="10"/>
  <c r="DA61" i="10" s="1"/>
  <c r="CM56" i="10"/>
  <c r="DA59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tc={2747A1C9-9E04-4F9A-8C5D-7DF2171C9716}</author>
  </authors>
  <commentList>
    <comment ref="F3" authorId="0" shapeId="0" xr:uid="{2747A1C9-9E04-4F9A-8C5D-7DF2171C97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Here the lcoe is per MWh produced total, but with H2, there are significant losses, so a fraction of that energy is not end-use electricity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tc={B9DA4F89-730C-41A6-8959-65D832130AD1}</author>
  </authors>
  <commentList>
    <comment ref="E17" authorId="0" shapeId="0" xr:uid="{B9DA4F89-730C-41A6-8959-65D832130AD1}">
      <text>
        <t>[Threaded comment]
Your version of Excel allows you to read this threaded comment; however, any edits to it will get removed if the file is opened in a newer version of Excel. Learn more: https://go.microsoft.com/fwlink/?linkid=870924
Comment:
    LCOE for the 8/10 achieving 100% RE</t>
      </text>
    </comment>
  </commentList>
</comments>
</file>

<file path=xl/sharedStrings.xml><?xml version="1.0" encoding="utf-8"?>
<sst xmlns="http://schemas.openxmlformats.org/spreadsheetml/2006/main" count="5722" uniqueCount="347">
  <si>
    <t>Technology</t>
  </si>
  <si>
    <t>biomass</t>
  </si>
  <si>
    <t>coal</t>
  </si>
  <si>
    <t>diesel</t>
  </si>
  <si>
    <t>geothermal</t>
  </si>
  <si>
    <t>hydro</t>
  </si>
  <si>
    <t>solar pv</t>
  </si>
  <si>
    <t>wind</t>
  </si>
  <si>
    <t>Country</t>
  </si>
  <si>
    <t>ATG</t>
  </si>
  <si>
    <t>NaN</t>
  </si>
  <si>
    <t>BRB</t>
  </si>
  <si>
    <t>DMA</t>
  </si>
  <si>
    <t>GLP</t>
  </si>
  <si>
    <t>GRD</t>
  </si>
  <si>
    <t>LCA</t>
  </si>
  <si>
    <t>MSR</t>
  </si>
  <si>
    <t>MTQ</t>
  </si>
  <si>
    <t>SKN</t>
  </si>
  <si>
    <t>SVG</t>
  </si>
  <si>
    <t>Capacity [MW]</t>
  </si>
  <si>
    <t>StorageUnit</t>
  </si>
  <si>
    <t>SKN Storage</t>
  </si>
  <si>
    <t>ATG Storage</t>
  </si>
  <si>
    <t>MSR Storage</t>
  </si>
  <si>
    <t>GLP Storage</t>
  </si>
  <si>
    <t>DMA Storage</t>
  </si>
  <si>
    <t>MTQ Storage</t>
  </si>
  <si>
    <t>LCA Storage</t>
  </si>
  <si>
    <t>BRB Storage</t>
  </si>
  <si>
    <t>SVG Storage</t>
  </si>
  <si>
    <t>GRD Storage</t>
  </si>
  <si>
    <t>[MW]</t>
  </si>
  <si>
    <t>hours</t>
  </si>
  <si>
    <t>[MWh]</t>
  </si>
  <si>
    <t>lcoe</t>
  </si>
  <si>
    <t>$/MWh</t>
  </si>
  <si>
    <t>Total</t>
  </si>
  <si>
    <t>GWh</t>
  </si>
  <si>
    <t>Diesel</t>
  </si>
  <si>
    <t>Fraction</t>
  </si>
  <si>
    <t>Assuming</t>
  </si>
  <si>
    <t>ktCO2/GWh</t>
  </si>
  <si>
    <t>Emissions</t>
  </si>
  <si>
    <t xml:space="preserve">ktCO2 </t>
  </si>
  <si>
    <t>Overall emissions factor</t>
  </si>
  <si>
    <t>tCO2/MWh</t>
  </si>
  <si>
    <t>Generation [GWh]</t>
  </si>
  <si>
    <t>solar pv fraction</t>
  </si>
  <si>
    <t>wind fraction</t>
  </si>
  <si>
    <t>ATG Electrolyzer</t>
  </si>
  <si>
    <t>ATG Fuel Cell</t>
  </si>
  <si>
    <t>BRB Electrolyzer</t>
  </si>
  <si>
    <t>BRB Fuel Cell</t>
  </si>
  <si>
    <t>GLP Electrolyzer</t>
  </si>
  <si>
    <t>GLP Fuel Cell</t>
  </si>
  <si>
    <t>MTQ Electrolyzer</t>
  </si>
  <si>
    <t>MTQ Fuel Cell</t>
  </si>
  <si>
    <t>LCA Electrolyzer</t>
  </si>
  <si>
    <t>LCA Fuel Cell</t>
  </si>
  <si>
    <t>SVG Electrolyzer</t>
  </si>
  <si>
    <t>SVG Fuel Cell</t>
  </si>
  <si>
    <t>GRD Electrolyzer</t>
  </si>
  <si>
    <t>GRD Fuel Cell</t>
  </si>
  <si>
    <t>SKN Electrolyzer</t>
  </si>
  <si>
    <t>SKN Fuel Cell</t>
  </si>
  <si>
    <t>MSR Electrolyzer</t>
  </si>
  <si>
    <t>MSR Fuel Cell</t>
  </si>
  <si>
    <t>DMA Electrolyzer</t>
  </si>
  <si>
    <t>DMA Fuel Cell</t>
  </si>
  <si>
    <t>Store</t>
  </si>
  <si>
    <t>ATG H2 Tank</t>
  </si>
  <si>
    <t>BRB H2 Tank</t>
  </si>
  <si>
    <t>GLP H2 Tank</t>
  </si>
  <si>
    <t>MTQ H2 Tank</t>
  </si>
  <si>
    <t>LCA H2 Tank</t>
  </si>
  <si>
    <t>SKN H2 Tank</t>
  </si>
  <si>
    <t>SVG H2 Tank</t>
  </si>
  <si>
    <t>MSR H2 Tank</t>
  </si>
  <si>
    <t>GRD H2 Tank</t>
  </si>
  <si>
    <t>DMA H2 Tank</t>
  </si>
  <si>
    <t>Baseline costs</t>
  </si>
  <si>
    <t>LCOE, region</t>
  </si>
  <si>
    <t>Link</t>
  </si>
  <si>
    <t>SKN MSR link</t>
  </si>
  <si>
    <t>MSR ATG link</t>
  </si>
  <si>
    <t>ATG GLP link</t>
  </si>
  <si>
    <t>GLP DMA link</t>
  </si>
  <si>
    <t>DMA MTQ link</t>
  </si>
  <si>
    <t>MTQ LCA link</t>
  </si>
  <si>
    <t>LCA SVG link</t>
  </si>
  <si>
    <t>SVG GRD link</t>
  </si>
  <si>
    <t>SVG BRB link</t>
  </si>
  <si>
    <t>LCA BRB link</t>
  </si>
  <si>
    <t>Extendable_baseline_final</t>
  </si>
  <si>
    <t>Total generation</t>
  </si>
  <si>
    <t>Days of storage</t>
  </si>
  <si>
    <t>/MW</t>
  </si>
  <si>
    <t>**no link costs for individual countries here</t>
  </si>
  <si>
    <t>total generation</t>
  </si>
  <si>
    <t>Current system</t>
  </si>
  <si>
    <t>Region</t>
  </si>
  <si>
    <t>compare to w/o storage</t>
  </si>
  <si>
    <t>compare to current system</t>
  </si>
  <si>
    <t>compared to current system</t>
  </si>
  <si>
    <t>lcoe $/MWh</t>
  </si>
  <si>
    <t>CO2 emissions [ktCO2]</t>
  </si>
  <si>
    <t>Cost of CO2 reduction [$/tCO2]</t>
  </si>
  <si>
    <t>Storage, 6 hours, no diesel, all links, baseline costs</t>
  </si>
  <si>
    <t>compared to system with diesel + battery</t>
  </si>
  <si>
    <t>Marginal cost of  last CO2 reduction [$/tCO2]</t>
  </si>
  <si>
    <t>CO2 reduction [ktCO2]</t>
  </si>
  <si>
    <t>% CO2 reduction</t>
  </si>
  <si>
    <t>Additional CO2 reduction [ktCO2]</t>
  </si>
  <si>
    <t>Cost per MW</t>
  </si>
  <si>
    <t>Cost per MW/km</t>
  </si>
  <si>
    <t>Total cost for zero emissions [million US$]</t>
  </si>
  <si>
    <t>Marginal cost of  add'l CO2 reduction (compared to no battery) [$/tCO2]</t>
  </si>
  <si>
    <t>Total cost of reduction (compared to current) [million US$]</t>
  </si>
  <si>
    <t>Link cost</t>
  </si>
  <si>
    <t>lcoe including half of relevant link costs</t>
  </si>
  <si>
    <t>lcoe including whole relevant link costs for ATG, BRB</t>
  </si>
  <si>
    <t xml:space="preserve">Storage, 4 hours, no diesel,  higher wind, solar </t>
  </si>
  <si>
    <t>compared to lowest base case</t>
  </si>
  <si>
    <t>compared to base H2 case</t>
  </si>
  <si>
    <t>Remaining fractional emissions reduced</t>
  </si>
  <si>
    <t>Include full costs for links, ATG, BRB</t>
  </si>
  <si>
    <t>Use as base case for H2</t>
  </si>
  <si>
    <t>compare to zero-emissions w/o H2</t>
  </si>
  <si>
    <t>LCOE - battery and hydrogen</t>
  </si>
  <si>
    <t xml:space="preserve">Storage, 8 hours, no diesel,  higher wind, solar </t>
  </si>
  <si>
    <t>Diesel fraction</t>
  </si>
  <si>
    <t>Change in domestic generation</t>
  </si>
  <si>
    <t>% change in domestic generation</t>
  </si>
  <si>
    <t>ATG, BRB cover all costs of links and extra generation from other countries</t>
  </si>
  <si>
    <t>Extra generation costs</t>
  </si>
  <si>
    <t>Storage, 4 hours,double max wind and solar capacity</t>
  </si>
  <si>
    <t xml:space="preserve">Storage, 6 hours, no diesel,  higher wind, solar </t>
  </si>
  <si>
    <t>Use new baseline with "double" solar and wind</t>
  </si>
  <si>
    <t>Higher fuel cost</t>
  </si>
  <si>
    <t>this becomes the baseline</t>
  </si>
  <si>
    <t>This is now "half wind and solar + 6hr storage</t>
  </si>
  <si>
    <t>Now baseline wind and solar, longer storage time</t>
  </si>
  <si>
    <t>half wind and solar, shorter storage time</t>
  </si>
  <si>
    <t>Storage, 4 hours,new base max wind and solar capacity, high storage cost</t>
  </si>
  <si>
    <t>half wind and solar, 8-hr storage</t>
  </si>
  <si>
    <t>/MWh</t>
  </si>
  <si>
    <t>Base</t>
  </si>
  <si>
    <t>Half wind and solar max cap</t>
  </si>
  <si>
    <t>Quarter wind and solar max cap</t>
  </si>
  <si>
    <t>Regional LCOE</t>
  </si>
  <si>
    <t>% difference to base</t>
  </si>
  <si>
    <t>--</t>
  </si>
  <si>
    <r>
      <t>Total area (km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</t>
    </r>
  </si>
  <si>
    <t>Solar pv (MW)</t>
  </si>
  <si>
    <t>Wind (MW)</t>
  </si>
  <si>
    <t>Geothermal (MW)</t>
  </si>
  <si>
    <t>Frac of max solar</t>
  </si>
  <si>
    <t>Frac of max wind</t>
  </si>
  <si>
    <t>Diesel, RE, battery storage</t>
  </si>
  <si>
    <t>Diesel, RE, no storage</t>
  </si>
  <si>
    <t>Baseline, 4-hr storage</t>
  </si>
  <si>
    <t>Half wind and solar, 6-hr storage</t>
  </si>
  <si>
    <t>Half wind and solar, 2-hr storage</t>
  </si>
  <si>
    <t>Half wind and solar, 4-hr storage</t>
  </si>
  <si>
    <t>Baseline, 6-hr storage</t>
  </si>
  <si>
    <t>Baseline, higher storage cost</t>
  </si>
  <si>
    <t>Half wind and solar, 8-hr storage</t>
  </si>
  <si>
    <t>diesel fraction</t>
  </si>
  <si>
    <t>Storage, 4 hours, no diesel,  higher wind, solar , higher H2 cost</t>
  </si>
  <si>
    <t>Storage-4hr_Hydrogen_highcost_double-solar-wind</t>
  </si>
  <si>
    <t>compared to no storage</t>
  </si>
  <si>
    <t>compared to diesel, no storage</t>
  </si>
  <si>
    <t>6-hr storage, new baseline wind and solar</t>
  </si>
  <si>
    <t>new baseline wind and solar, 8-hr storage</t>
  </si>
  <si>
    <t>new baseline wind and solar</t>
  </si>
  <si>
    <t>new baseline solar and wind for all</t>
  </si>
  <si>
    <t>Storage, 6 hours, ATG, BRB w/diesel</t>
  </si>
  <si>
    <t>Storage_6-hr_newbaseline-wind-solar_ATG-BRB-diesel_double-geo-GLP-MTQ</t>
  </si>
  <si>
    <t>compared to H2, 6-hr battery</t>
  </si>
  <si>
    <t>compared to 6-hr battery, most w/o diesel</t>
  </si>
  <si>
    <t xml:space="preserve">3.1  Battery 4 hours,  baseline solar and wind </t>
  </si>
  <si>
    <t xml:space="preserve">3.2 Battery 6 hours,   baseline solar and wind </t>
  </si>
  <si>
    <t>3.3 Battery 8 hours,  baseline solar and wind</t>
  </si>
  <si>
    <r>
      <t>3.4 Battery 4 hours,  baseline solar and wind, higher H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costs</t>
    </r>
  </si>
  <si>
    <t>Must-run VRE</t>
  </si>
  <si>
    <t>Max 90% geothermal</t>
  </si>
  <si>
    <t>Extendable_newbaseline_higher-geothermal-cost_must-run-VRE_max-geo</t>
  </si>
  <si>
    <t>Extendable_newbaseline_higher-geothermal-cost_must-run-VRE_max-geo_high-fuel</t>
  </si>
  <si>
    <t>Extendable_half-wind-solar-cap</t>
  </si>
  <si>
    <t>Take as a new baseline</t>
  </si>
  <si>
    <t>Higher geothermal  cost as baseline</t>
  </si>
  <si>
    <t>compared to base</t>
  </si>
  <si>
    <t>Extendable_quarter-wind-solar-cap</t>
  </si>
  <si>
    <t>Baseline</t>
  </si>
  <si>
    <t>Less solar and wind available</t>
  </si>
  <si>
    <t>Quarter base VRE max cap</t>
  </si>
  <si>
    <t>Storage_4-hr_newbaseline-wind-solar-geo</t>
  </si>
  <si>
    <t>Storage_4-hr_half-wind-solar</t>
  </si>
  <si>
    <t>half wind and solar max cap</t>
  </si>
  <si>
    <t>compare to baseline w/ storage</t>
  </si>
  <si>
    <t>Storage_4-hr_high-batt-cost</t>
  </si>
  <si>
    <t>04.09.2025</t>
  </si>
  <si>
    <t>Storage-4hr_Hydrogen_new-baseline-wind-solar-geo</t>
  </si>
  <si>
    <t>Storage_6-hr_baseline-VRE</t>
  </si>
  <si>
    <t>Storage_2-hr_half-wind-solar-cap</t>
  </si>
  <si>
    <t>Storage-6hr_Hydrogen_new-baseline-wind-solar-geo</t>
  </si>
  <si>
    <t>05.09.2025</t>
  </si>
  <si>
    <t>Storage-8hr_Hydrogen_new-baseline-wind-solar-geo</t>
  </si>
  <si>
    <t>Storage_8-hr_half-wind-solar-cap</t>
  </si>
  <si>
    <t>Storage_6-hr_half-wind-solar-cap</t>
  </si>
  <si>
    <t>TG Storage</t>
  </si>
  <si>
    <t>double H2 cost</t>
  </si>
  <si>
    <t>Baseline solar and wind</t>
  </si>
  <si>
    <t>Lower VRE</t>
  </si>
  <si>
    <t>compare to no storage</t>
  </si>
  <si>
    <t>Baseline maximum capacities</t>
  </si>
  <si>
    <t>Change in generation</t>
  </si>
  <si>
    <t xml:space="preserve">compared to </t>
  </si>
  <si>
    <t>30.10.2025</t>
  </si>
  <si>
    <t>Storage, 6 hours, no diesel,  higher geo GLP,LCA,SVG</t>
  </si>
  <si>
    <t>Storage-6hr_baseline-cost_only-geo-must-run</t>
  </si>
  <si>
    <t>Limited-Links_6hr-Storage_baseline-link-cost_SKN-no-GLP</t>
  </si>
  <si>
    <t>geo limits raised for SKN, LCA,SVG</t>
  </si>
  <si>
    <t>06.11.2025</t>
  </si>
  <si>
    <t>Storage, 6 hours, no diesel, few links, SKN instead of GLP</t>
  </si>
  <si>
    <t>SKN ATG link</t>
  </si>
  <si>
    <t>Storage, 6 hours, no diesel, few links, SKN instead of GLP, high link cost</t>
  </si>
  <si>
    <t>Limited-Links_6hr-Storage_double-link-cost_SKN-no-GLP</t>
  </si>
  <si>
    <t>Links_6hr-Storage_base-link-cost_SKN-ATG-link</t>
  </si>
  <si>
    <t>Now SKN-ATG link</t>
  </si>
  <si>
    <t>Storage, 6 hours, no diesel, all links, double link costs</t>
  </si>
  <si>
    <t>Links_6hr-Storage_double-link-cost_SKN-ATG-link</t>
  </si>
  <si>
    <t>Links_6hr-Storage_high-batt-cost_SKN-ATG-link</t>
  </si>
  <si>
    <t>Storage, 6 hours, no diesel, all links, higher battery costs</t>
  </si>
  <si>
    <t>07.11.2025</t>
  </si>
  <si>
    <t>Storage, 6 hours, no diesel, all links, higher battery and link costs</t>
  </si>
  <si>
    <t>Links_6hr-Storage_high-batt-and-link-cost_SKN-ATG-link</t>
  </si>
  <si>
    <t>compared to base case diesel + battery</t>
  </si>
  <si>
    <t>11.11.2025</t>
  </si>
  <si>
    <t>now with higher geo baseline cost</t>
  </si>
  <si>
    <t>Also must run wind, solar, geo min 60%</t>
  </si>
  <si>
    <t>partial must run wind and solar,  not geothermal</t>
  </si>
  <si>
    <t>Storage_6-hr_double-geo-GLP-MTQ_must-run-geo-solar</t>
  </si>
  <si>
    <t>12.11.2025</t>
  </si>
  <si>
    <t>13.11.2025</t>
  </si>
  <si>
    <t>must run all</t>
  </si>
  <si>
    <t>17.12.2025</t>
  </si>
  <si>
    <t>Storage_6-hr_4x-geo-GLP_3x-MTQ_double-geo-LCA-GRD_VRE-must-run</t>
  </si>
  <si>
    <t>must run VRE and geo</t>
  </si>
  <si>
    <t>Storage_6-hr_4x-geo-GLP_3x-MTQ_double-geo-LCA-GRD_VRE-must-run-reduced/</t>
  </si>
  <si>
    <t>must run VRE reduced max and geo</t>
  </si>
  <si>
    <t>Additional reduction in CO2 emissions [ktCO2]</t>
  </si>
  <si>
    <t>20.12.2025</t>
  </si>
  <si>
    <t>Links_6hr-Storage_SKN-ATG-link_4x-geo-GLP-3x-MTQ_VRE-geo-min</t>
  </si>
  <si>
    <t>4x geo GLP and 3x geo MTQ</t>
  </si>
  <si>
    <t>22.12.2025</t>
  </si>
  <si>
    <t>Storage, 6 hours, no diesel, few links, SKN instead of GLP, relaxed VRE must run</t>
  </si>
  <si>
    <t>compared to diesel w/storage</t>
  </si>
  <si>
    <t>compared to 100% RE w/o must-run</t>
  </si>
  <si>
    <t>compared to zero emissions w/H2</t>
  </si>
  <si>
    <t>Calculation for distribution of costs for extra (or less) generation and for weighted costs of links</t>
  </si>
  <si>
    <t>No link costs for individual countries here</t>
  </si>
  <si>
    <t>Total demand (no links)</t>
  </si>
  <si>
    <t>Total domestic generation</t>
  </si>
  <si>
    <t>Balanced LCOE, no link costs</t>
  </si>
  <si>
    <t>Balanced LCOE with weighted link cost</t>
  </si>
  <si>
    <t>Logic - starting at end of chain</t>
  </si>
  <si>
    <t xml:space="preserve">MSR sends </t>
  </si>
  <si>
    <t>to</t>
  </si>
  <si>
    <t xml:space="preserve">SKN sends  </t>
  </si>
  <si>
    <t xml:space="preserve">ATG sends </t>
  </si>
  <si>
    <t>GLP sends</t>
  </si>
  <si>
    <t>DMA sends</t>
  </si>
  <si>
    <t>MTQ receives</t>
  </si>
  <si>
    <t>from</t>
  </si>
  <si>
    <t xml:space="preserve">LCA  </t>
  </si>
  <si>
    <t>LCA receives</t>
  </si>
  <si>
    <t>SVG &amp; BRB</t>
  </si>
  <si>
    <t>SVG sends</t>
  </si>
  <si>
    <t>BRB sends</t>
  </si>
  <si>
    <t xml:space="preserve">SVG  </t>
  </si>
  <si>
    <t>SVG &amp; LCA</t>
  </si>
  <si>
    <t>overall lcoe from calcs below</t>
  </si>
  <si>
    <t>Links_6hr-Storage_SKN-ATG-link_VRE-min-red_geo-min</t>
  </si>
  <si>
    <t>Effective average cost of carbon [$/tCO2]</t>
  </si>
  <si>
    <t>This is the key result after testing</t>
  </si>
  <si>
    <t>Links_6hr-Storage_SKN-ATG-link_VRE-min-red_geo-min_high-link-cost/</t>
  </si>
  <si>
    <t>5.1.2026</t>
  </si>
  <si>
    <t>Links_6hr-Storage_SKN-ATG-link_VRE-min_geo-min_high-link-cost/</t>
  </si>
  <si>
    <t>Full VRE min</t>
  </si>
  <si>
    <t>Reduced VRE min</t>
  </si>
  <si>
    <t>Scenario Set 1</t>
  </si>
  <si>
    <t>Extendable, no storage</t>
  </si>
  <si>
    <t>Scenario Set 2</t>
  </si>
  <si>
    <t>Storage, diesel</t>
  </si>
  <si>
    <t>Scenario Set 3</t>
  </si>
  <si>
    <t>Storage, hydrogen</t>
  </si>
  <si>
    <t>Higher hydrogen cost</t>
  </si>
  <si>
    <t>Scenario Set 4</t>
  </si>
  <si>
    <t>Storage, links</t>
  </si>
  <si>
    <t>average</t>
  </si>
  <si>
    <t>st dev</t>
  </si>
  <si>
    <t>Business as usual</t>
  </si>
  <si>
    <t>sd</t>
  </si>
  <si>
    <t>3.4 Battery 4 hours,  baseline solar and wind, higher H2 costs</t>
  </si>
  <si>
    <t>Baseline, 4-hr battery</t>
  </si>
  <si>
    <t>Baseline, 6-hr battery</t>
  </si>
  <si>
    <t>Baseline, 8-hr battery</t>
  </si>
  <si>
    <t>only geo min</t>
  </si>
  <si>
    <t>Use as main case</t>
  </si>
  <si>
    <t>LimitedLinks_6hr-Storage_SKN-ATG-link_VRE-min-red_geo-min</t>
  </si>
  <si>
    <t>Scenario Set 4'</t>
  </si>
  <si>
    <t>Storage, limited links</t>
  </si>
  <si>
    <t>Baseline, partial VRE must-run</t>
  </si>
  <si>
    <t>Only geothermal must-run</t>
  </si>
  <si>
    <t>Only geo must-run, high link cost</t>
  </si>
  <si>
    <t>Partial VRE must-run, high link cost</t>
  </si>
  <si>
    <t>Scenario Set 2'</t>
  </si>
  <si>
    <t>Storage, diesel, 8/10 100% RE</t>
  </si>
  <si>
    <t>Baseline, both geothermal and VRE must-run</t>
  </si>
  <si>
    <t>4.5 new</t>
  </si>
  <si>
    <t>4.6 new</t>
  </si>
  <si>
    <t>4.7 new</t>
  </si>
  <si>
    <t>4.8 new</t>
  </si>
  <si>
    <t>VRE limited must-run</t>
  </si>
  <si>
    <t>VRE limited must-run, high link cost</t>
  </si>
  <si>
    <t>Geothermal and VRE must-run, high link cost</t>
  </si>
  <si>
    <t>Only geo must-run, high battery cost</t>
  </si>
  <si>
    <t>Only geo must-run</t>
  </si>
  <si>
    <t>Only geo must-run, high battery and link cost</t>
  </si>
  <si>
    <t>05.01.2026</t>
  </si>
  <si>
    <t>LimitedLinks_6hr-Storage_SKN-ATG-link_VRE-min-red_geo-min_high-link-cost</t>
  </si>
  <si>
    <t>Geothermal and VRE must-run</t>
  </si>
  <si>
    <t>VRE limited must-run,  not geothermal</t>
  </si>
  <si>
    <t>VRE limited must-run, geo must-run</t>
  </si>
  <si>
    <t>2a.1</t>
  </si>
  <si>
    <t>2a.2</t>
  </si>
  <si>
    <t>Flexible geothermal</t>
  </si>
  <si>
    <t>non-100% RE</t>
  </si>
  <si>
    <t>100% RE</t>
  </si>
  <si>
    <t>2a.3</t>
  </si>
  <si>
    <t>2a.4</t>
  </si>
  <si>
    <t>4a.1</t>
  </si>
  <si>
    <t>4a.2</t>
  </si>
  <si>
    <t>4a.3</t>
  </si>
  <si>
    <t>4a.4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</si>
</sst>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%"/>
    <numFmt numFmtId="167" formatCode="_-[$$-409]* #,##0_ ;_-[$$-409]* \-#,##0\ ;_-[$$-409]* &quot;-&quot;??_ ;_-@_ "/>
    <numFmt numFmtId="168" formatCode="_-[$$-409]* #,##0.0_ ;_-[$$-409]* \-#,##0.0\ ;_-[$$-409]* &quot;-&quot;??_ ;_-@_ 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FFFF00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bscript"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1" fontId="0" fillId="0" borderId="0" xfId="0" applyNumberFormat="1"/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9" fontId="0" fillId="0" borderId="0" xfId="1" applyFont="1" applyBorder="1" applyAlignment="1">
      <alignment vertical="center" wrapText="1"/>
    </xf>
    <xf numFmtId="14" fontId="0" fillId="0" borderId="0" xfId="0" applyNumberFormat="1"/>
    <xf numFmtId="0" fontId="0" fillId="0" borderId="0" xfId="0" quotePrefix="1"/>
    <xf numFmtId="1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1" applyNumberFormat="1" applyFont="1" applyBorder="1" applyAlignment="1">
      <alignment vertical="center" wrapText="1"/>
    </xf>
    <xf numFmtId="0" fontId="0" fillId="3" borderId="0" xfId="0" applyFill="1"/>
    <xf numFmtId="165" fontId="0" fillId="0" borderId="1" xfId="0" applyNumberFormat="1" applyBorder="1" applyAlignment="1">
      <alignment vertical="center" wrapText="1"/>
    </xf>
    <xf numFmtId="9" fontId="0" fillId="0" borderId="0" xfId="1" applyFont="1"/>
    <xf numFmtId="9" fontId="0" fillId="3" borderId="0" xfId="1" applyFont="1" applyFill="1"/>
    <xf numFmtId="0" fontId="0" fillId="4" borderId="0" xfId="0" applyFill="1"/>
    <xf numFmtId="166" fontId="0" fillId="0" borderId="0" xfId="1" applyNumberFormat="1" applyFont="1"/>
    <xf numFmtId="165" fontId="0" fillId="0" borderId="0" xfId="1" applyNumberFormat="1" applyFont="1" applyBorder="1" applyAlignment="1">
      <alignment vertical="center" wrapText="1"/>
    </xf>
    <xf numFmtId="9" fontId="1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165" fontId="0" fillId="5" borderId="0" xfId="1" applyNumberFormat="1" applyFont="1" applyFill="1" applyBorder="1" applyAlignment="1">
      <alignment vertical="center" wrapText="1"/>
    </xf>
    <xf numFmtId="165" fontId="0" fillId="6" borderId="0" xfId="1" applyNumberFormat="1" applyFont="1" applyFill="1" applyBorder="1" applyAlignment="1">
      <alignment vertical="center" wrapText="1"/>
    </xf>
    <xf numFmtId="165" fontId="0" fillId="7" borderId="0" xfId="1" applyNumberFormat="1" applyFont="1" applyFill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166" fontId="0" fillId="0" borderId="0" xfId="1" applyNumberFormat="1" applyFont="1" applyBorder="1" applyAlignment="1">
      <alignment vertical="center" wrapText="1"/>
    </xf>
    <xf numFmtId="9" fontId="0" fillId="8" borderId="1" xfId="1" applyFont="1" applyFill="1" applyBorder="1" applyAlignment="1">
      <alignment horizontal="center" vertical="center" wrapText="1"/>
    </xf>
    <xf numFmtId="0" fontId="4" fillId="2" borderId="0" xfId="0" applyFont="1" applyFill="1"/>
    <xf numFmtId="9" fontId="0" fillId="9" borderId="0" xfId="1" applyFont="1" applyFill="1"/>
    <xf numFmtId="0" fontId="0" fillId="2" borderId="0" xfId="0" applyFill="1" applyAlignment="1">
      <alignment wrapText="1"/>
    </xf>
    <xf numFmtId="0" fontId="0" fillId="0" borderId="1" xfId="0" applyBorder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165" fontId="0" fillId="11" borderId="0" xfId="0" applyNumberFormat="1" applyFill="1"/>
    <xf numFmtId="165" fontId="0" fillId="10" borderId="0" xfId="0" applyNumberFormat="1" applyFill="1"/>
    <xf numFmtId="165" fontId="0" fillId="0" borderId="0" xfId="1" applyNumberFormat="1" applyFont="1" applyFill="1" applyBorder="1" applyAlignment="1">
      <alignment vertical="center" wrapText="1"/>
    </xf>
    <xf numFmtId="4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2" fontId="0" fillId="0" borderId="0" xfId="0" applyNumberFormat="1" applyAlignment="1">
      <alignment vertical="center" wrapText="1"/>
    </xf>
    <xf numFmtId="168" fontId="0" fillId="0" borderId="0" xfId="0" applyNumberFormat="1"/>
    <xf numFmtId="0" fontId="2" fillId="0" borderId="0" xfId="0" applyFont="1" applyAlignment="1">
      <alignment vertical="center" wrapText="1"/>
    </xf>
    <xf numFmtId="1" fontId="0" fillId="10" borderId="0" xfId="0" applyNumberFormat="1" applyFill="1"/>
    <xf numFmtId="0" fontId="0" fillId="0" borderId="0" xfId="0" applyAlignment="1">
      <alignment wrapText="1"/>
    </xf>
    <xf numFmtId="9" fontId="0" fillId="0" borderId="0" xfId="1" applyFont="1" applyFill="1" applyBorder="1" applyAlignment="1">
      <alignment horizontal="center" vertical="center" wrapText="1"/>
    </xf>
    <xf numFmtId="9" fontId="0" fillId="0" borderId="0" xfId="1" quotePrefix="1" applyFont="1" applyFill="1" applyBorder="1" applyAlignment="1">
      <alignment horizontal="left" vertical="center"/>
    </xf>
    <xf numFmtId="0" fontId="0" fillId="6" borderId="0" xfId="0" applyFill="1"/>
    <xf numFmtId="2" fontId="0" fillId="0" borderId="0" xfId="1" applyNumberFormat="1" applyFont="1" applyBorder="1" applyAlignment="1">
      <alignment vertical="center" wrapText="1"/>
    </xf>
    <xf numFmtId="0" fontId="2" fillId="4" borderId="0" xfId="0" applyFont="1" applyFill="1"/>
    <xf numFmtId="10" fontId="0" fillId="0" borderId="0" xfId="0" applyNumberFormat="1"/>
    <xf numFmtId="0" fontId="0" fillId="9" borderId="0" xfId="0" applyFill="1"/>
    <xf numFmtId="166" fontId="0" fillId="0" borderId="0" xfId="1" applyNumberFormat="1" applyFont="1" applyAlignment="1">
      <alignment horizontal="center" vertical="center" wrapText="1"/>
    </xf>
    <xf numFmtId="9" fontId="0" fillId="0" borderId="0" xfId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65" fontId="0" fillId="12" borderId="0" xfId="0" applyNumberFormat="1" applyFill="1"/>
    <xf numFmtId="0" fontId="8" fillId="13" borderId="0" xfId="0" applyFont="1" applyFill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center" vertical="center" wrapText="1"/>
    </xf>
    <xf numFmtId="0" fontId="0" fillId="15" borderId="0" xfId="0" applyFill="1" applyAlignment="1">
      <alignment wrapText="1"/>
    </xf>
    <xf numFmtId="165" fontId="0" fillId="15" borderId="0" xfId="0" applyNumberFormat="1" applyFill="1"/>
    <xf numFmtId="1" fontId="0" fillId="3" borderId="0" xfId="0" applyNumberFormat="1" applyFill="1"/>
    <xf numFmtId="167" fontId="0" fillId="0" borderId="0" xfId="0" applyNumberFormat="1"/>
    <xf numFmtId="0" fontId="0" fillId="0" borderId="0" xfId="0" applyAlignment="1">
      <alignment horizontal="right" wrapText="1"/>
    </xf>
    <xf numFmtId="0" fontId="0" fillId="16" borderId="0" xfId="0" applyFill="1"/>
    <xf numFmtId="1" fontId="0" fillId="16" borderId="0" xfId="0" applyNumberFormat="1" applyFill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15753818047818"/>
          <c:y val="3.4170796956627808E-2"/>
          <c:w val="0.65831987057371588"/>
          <c:h val="0.89845180401190339"/>
        </c:manualLayout>
      </c:layout>
      <c:lineChart>
        <c:grouping val="standard"/>
        <c:varyColors val="0"/>
        <c:ser>
          <c:idx val="0"/>
          <c:order val="0"/>
          <c:tx>
            <c:strRef>
              <c:f>'3.Battery + H2 summary of costs'!$B$3</c:f>
              <c:strCache>
                <c:ptCount val="1"/>
                <c:pt idx="0">
                  <c:v>3.1  Battery 4 hours,  baseline solar and wind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cat>
            <c:strRef>
              <c:f>'3.Battery + H2 summary of costs'!$A$4:$A$14</c:f>
              <c:strCache>
                <c:ptCount val="11"/>
                <c:pt idx="0">
                  <c:v>ATG</c:v>
                </c:pt>
                <c:pt idx="1">
                  <c:v>BRB</c:v>
                </c:pt>
                <c:pt idx="2">
                  <c:v>DMA</c:v>
                </c:pt>
                <c:pt idx="3">
                  <c:v>GLP</c:v>
                </c:pt>
                <c:pt idx="4">
                  <c:v>GRD</c:v>
                </c:pt>
                <c:pt idx="5">
                  <c:v>LCA</c:v>
                </c:pt>
                <c:pt idx="6">
                  <c:v>MSR</c:v>
                </c:pt>
                <c:pt idx="7">
                  <c:v>MTQ</c:v>
                </c:pt>
                <c:pt idx="8">
                  <c:v>SKN</c:v>
                </c:pt>
                <c:pt idx="9">
                  <c:v>SVG</c:v>
                </c:pt>
                <c:pt idx="10">
                  <c:v>Region</c:v>
                </c:pt>
              </c:strCache>
            </c:strRef>
          </c:cat>
          <c:val>
            <c:numRef>
              <c:f>'3.Battery + H2 summary of costs'!$B$4:$B$14</c:f>
              <c:numCache>
                <c:formatCode>0.0</c:formatCode>
                <c:ptCount val="11"/>
                <c:pt idx="0">
                  <c:v>90.440062999999995</c:v>
                </c:pt>
                <c:pt idx="1">
                  <c:v>83.128519999999995</c:v>
                </c:pt>
                <c:pt idx="2">
                  <c:v>111.57970299999999</c:v>
                </c:pt>
                <c:pt idx="3">
                  <c:v>96.566857999999996</c:v>
                </c:pt>
                <c:pt idx="4">
                  <c:v>88.774929999999998</c:v>
                </c:pt>
                <c:pt idx="5">
                  <c:v>80.674544999999995</c:v>
                </c:pt>
                <c:pt idx="6">
                  <c:v>114.624548</c:v>
                </c:pt>
                <c:pt idx="7">
                  <c:v>82.393386000000007</c:v>
                </c:pt>
                <c:pt idx="8">
                  <c:v>114.82123300000001</c:v>
                </c:pt>
                <c:pt idx="9">
                  <c:v>59.855046000000002</c:v>
                </c:pt>
                <c:pt idx="10">
                  <c:v>104.8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A-46BD-95CE-EFABB962F39F}"/>
            </c:ext>
          </c:extLst>
        </c:ser>
        <c:ser>
          <c:idx val="1"/>
          <c:order val="1"/>
          <c:tx>
            <c:strRef>
              <c:f>'3.Battery + H2 summary of costs'!$C$3</c:f>
              <c:strCache>
                <c:ptCount val="1"/>
                <c:pt idx="0">
                  <c:v>3.2 Battery 6 hours,   baseline solar and wind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cat>
            <c:strRef>
              <c:f>'3.Battery + H2 summary of costs'!$A$4:$A$14</c:f>
              <c:strCache>
                <c:ptCount val="11"/>
                <c:pt idx="0">
                  <c:v>ATG</c:v>
                </c:pt>
                <c:pt idx="1">
                  <c:v>BRB</c:v>
                </c:pt>
                <c:pt idx="2">
                  <c:v>DMA</c:v>
                </c:pt>
                <c:pt idx="3">
                  <c:v>GLP</c:v>
                </c:pt>
                <c:pt idx="4">
                  <c:v>GRD</c:v>
                </c:pt>
                <c:pt idx="5">
                  <c:v>LCA</c:v>
                </c:pt>
                <c:pt idx="6">
                  <c:v>MSR</c:v>
                </c:pt>
                <c:pt idx="7">
                  <c:v>MTQ</c:v>
                </c:pt>
                <c:pt idx="8">
                  <c:v>SKN</c:v>
                </c:pt>
                <c:pt idx="9">
                  <c:v>SVG</c:v>
                </c:pt>
                <c:pt idx="10">
                  <c:v>Region</c:v>
                </c:pt>
              </c:strCache>
            </c:strRef>
          </c:cat>
          <c:val>
            <c:numRef>
              <c:f>'3.Battery + H2 summary of costs'!$C$4:$C$14</c:f>
              <c:numCache>
                <c:formatCode>0.0</c:formatCode>
                <c:ptCount val="11"/>
                <c:pt idx="0">
                  <c:v>92.461779000000007</c:v>
                </c:pt>
                <c:pt idx="1">
                  <c:v>80.351775000000004</c:v>
                </c:pt>
                <c:pt idx="2">
                  <c:v>111.57970299999999</c:v>
                </c:pt>
                <c:pt idx="3">
                  <c:v>99.348410999999999</c:v>
                </c:pt>
                <c:pt idx="4">
                  <c:v>88.713215000000005</c:v>
                </c:pt>
                <c:pt idx="5">
                  <c:v>80.964078000000001</c:v>
                </c:pt>
                <c:pt idx="6">
                  <c:v>114.532106</c:v>
                </c:pt>
                <c:pt idx="7">
                  <c:v>82.886562999999995</c:v>
                </c:pt>
                <c:pt idx="8">
                  <c:v>114.567359</c:v>
                </c:pt>
                <c:pt idx="9">
                  <c:v>59.723376000000002</c:v>
                </c:pt>
                <c:pt idx="10">
                  <c:v>102.5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A-46BD-95CE-EFABB962F39F}"/>
            </c:ext>
          </c:extLst>
        </c:ser>
        <c:ser>
          <c:idx val="2"/>
          <c:order val="2"/>
          <c:tx>
            <c:strRef>
              <c:f>'3.Battery + H2 summary of costs'!$D$3</c:f>
              <c:strCache>
                <c:ptCount val="1"/>
                <c:pt idx="0">
                  <c:v>3.3 Battery 8 hours,  baseline solar and wind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7030A0"/>
              </a:solidFill>
              <a:ln w="28575">
                <a:noFill/>
              </a:ln>
              <a:effectLst/>
            </c:spPr>
          </c:marker>
          <c:cat>
            <c:strRef>
              <c:f>'3.Battery + H2 summary of costs'!$A$4:$A$14</c:f>
              <c:strCache>
                <c:ptCount val="11"/>
                <c:pt idx="0">
                  <c:v>ATG</c:v>
                </c:pt>
                <c:pt idx="1">
                  <c:v>BRB</c:v>
                </c:pt>
                <c:pt idx="2">
                  <c:v>DMA</c:v>
                </c:pt>
                <c:pt idx="3">
                  <c:v>GLP</c:v>
                </c:pt>
                <c:pt idx="4">
                  <c:v>GRD</c:v>
                </c:pt>
                <c:pt idx="5">
                  <c:v>LCA</c:v>
                </c:pt>
                <c:pt idx="6">
                  <c:v>MSR</c:v>
                </c:pt>
                <c:pt idx="7">
                  <c:v>MTQ</c:v>
                </c:pt>
                <c:pt idx="8">
                  <c:v>SKN</c:v>
                </c:pt>
                <c:pt idx="9">
                  <c:v>SVG</c:v>
                </c:pt>
                <c:pt idx="10">
                  <c:v>Region</c:v>
                </c:pt>
              </c:strCache>
            </c:strRef>
          </c:cat>
          <c:val>
            <c:numRef>
              <c:f>'3.Battery + H2 summary of costs'!$D$4:$D$14</c:f>
              <c:numCache>
                <c:formatCode>0.0</c:formatCode>
                <c:ptCount val="11"/>
                <c:pt idx="0">
                  <c:v>94.975092000000004</c:v>
                </c:pt>
                <c:pt idx="1">
                  <c:v>82.558330999999995</c:v>
                </c:pt>
                <c:pt idx="2">
                  <c:v>111.57970299999999</c:v>
                </c:pt>
                <c:pt idx="3">
                  <c:v>98.568078999999997</c:v>
                </c:pt>
                <c:pt idx="4">
                  <c:v>91.659054999999995</c:v>
                </c:pt>
                <c:pt idx="5">
                  <c:v>79.445035000000004</c:v>
                </c:pt>
                <c:pt idx="6">
                  <c:v>115.323722</c:v>
                </c:pt>
                <c:pt idx="7">
                  <c:v>83.532002000000006</c:v>
                </c:pt>
                <c:pt idx="8">
                  <c:v>115.30063</c:v>
                </c:pt>
                <c:pt idx="9">
                  <c:v>60.134906000000001</c:v>
                </c:pt>
                <c:pt idx="10">
                  <c:v>103.2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A-46BD-95CE-EFABB962F39F}"/>
            </c:ext>
          </c:extLst>
        </c:ser>
        <c:ser>
          <c:idx val="3"/>
          <c:order val="3"/>
          <c:tx>
            <c:strRef>
              <c:f>'3.Battery + H2 summary of costs'!$E$3</c:f>
              <c:strCache>
                <c:ptCount val="1"/>
                <c:pt idx="0">
                  <c:v>3.4 Battery 4 hours,  baseline solar and wind, higher H2 costs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cat>
            <c:strRef>
              <c:f>'3.Battery + H2 summary of costs'!$A$4:$A$14</c:f>
              <c:strCache>
                <c:ptCount val="11"/>
                <c:pt idx="0">
                  <c:v>ATG</c:v>
                </c:pt>
                <c:pt idx="1">
                  <c:v>BRB</c:v>
                </c:pt>
                <c:pt idx="2">
                  <c:v>DMA</c:v>
                </c:pt>
                <c:pt idx="3">
                  <c:v>GLP</c:v>
                </c:pt>
                <c:pt idx="4">
                  <c:v>GRD</c:v>
                </c:pt>
                <c:pt idx="5">
                  <c:v>LCA</c:v>
                </c:pt>
                <c:pt idx="6">
                  <c:v>MSR</c:v>
                </c:pt>
                <c:pt idx="7">
                  <c:v>MTQ</c:v>
                </c:pt>
                <c:pt idx="8">
                  <c:v>SKN</c:v>
                </c:pt>
                <c:pt idx="9">
                  <c:v>SVG</c:v>
                </c:pt>
                <c:pt idx="10">
                  <c:v>Region</c:v>
                </c:pt>
              </c:strCache>
            </c:strRef>
          </c:cat>
          <c:val>
            <c:numRef>
              <c:f>'3.Battery + H2 summary of costs'!$E$4:$E$14</c:f>
              <c:numCache>
                <c:formatCode>0.0</c:formatCode>
                <c:ptCount val="11"/>
                <c:pt idx="0">
                  <c:v>121.14546199999999</c:v>
                </c:pt>
                <c:pt idx="1">
                  <c:v>107.76249799999999</c:v>
                </c:pt>
                <c:pt idx="2">
                  <c:v>111.57970299999999</c:v>
                </c:pt>
                <c:pt idx="3">
                  <c:v>119.02925</c:v>
                </c:pt>
                <c:pt idx="4">
                  <c:v>108.799244</c:v>
                </c:pt>
                <c:pt idx="5">
                  <c:v>113.8163</c:v>
                </c:pt>
                <c:pt idx="6">
                  <c:v>119.745091</c:v>
                </c:pt>
                <c:pt idx="7">
                  <c:v>105.071048</c:v>
                </c:pt>
                <c:pt idx="8">
                  <c:v>119.84198499999999</c:v>
                </c:pt>
                <c:pt idx="9">
                  <c:v>74.856256000000002</c:v>
                </c:pt>
                <c:pt idx="10">
                  <c:v>125.7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A-46BD-95CE-EFABB962F39F}"/>
            </c:ext>
          </c:extLst>
        </c:ser>
        <c:ser>
          <c:idx val="6"/>
          <c:order val="4"/>
          <c:tx>
            <c:strRef>
              <c:f>'3.Battery + H2 summary of costs'!$F$3</c:f>
              <c:strCache>
                <c:ptCount val="1"/>
                <c:pt idx="0">
                  <c:v>Current system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bg2">
                  <a:lumMod val="50000"/>
                </a:schemeClr>
              </a:solidFill>
              <a:ln w="31750">
                <a:noFill/>
              </a:ln>
              <a:effectLst/>
            </c:spPr>
          </c:marker>
          <c:cat>
            <c:strRef>
              <c:f>'3.Battery + H2 summary of costs'!$A$4:$A$14</c:f>
              <c:strCache>
                <c:ptCount val="11"/>
                <c:pt idx="0">
                  <c:v>ATG</c:v>
                </c:pt>
                <c:pt idx="1">
                  <c:v>BRB</c:v>
                </c:pt>
                <c:pt idx="2">
                  <c:v>DMA</c:v>
                </c:pt>
                <c:pt idx="3">
                  <c:v>GLP</c:v>
                </c:pt>
                <c:pt idx="4">
                  <c:v>GRD</c:v>
                </c:pt>
                <c:pt idx="5">
                  <c:v>LCA</c:v>
                </c:pt>
                <c:pt idx="6">
                  <c:v>MSR</c:v>
                </c:pt>
                <c:pt idx="7">
                  <c:v>MTQ</c:v>
                </c:pt>
                <c:pt idx="8">
                  <c:v>SKN</c:v>
                </c:pt>
                <c:pt idx="9">
                  <c:v>SVG</c:v>
                </c:pt>
                <c:pt idx="10">
                  <c:v>Region</c:v>
                </c:pt>
              </c:strCache>
            </c:strRef>
          </c:cat>
          <c:val>
            <c:numRef>
              <c:f>'3.Battery + H2 summary of costs'!$F$4:$F$14</c:f>
              <c:numCache>
                <c:formatCode>0.0</c:formatCode>
                <c:ptCount val="11"/>
                <c:pt idx="0">
                  <c:v>202.11972900000001</c:v>
                </c:pt>
                <c:pt idx="1">
                  <c:v>184.54548</c:v>
                </c:pt>
                <c:pt idx="2">
                  <c:v>128.867794</c:v>
                </c:pt>
                <c:pt idx="3">
                  <c:v>171.72627299999999</c:v>
                </c:pt>
                <c:pt idx="4">
                  <c:v>201.660687</c:v>
                </c:pt>
                <c:pt idx="5">
                  <c:v>201.485254</c:v>
                </c:pt>
                <c:pt idx="6">
                  <c:v>191.20420200000001</c:v>
                </c:pt>
                <c:pt idx="7">
                  <c:v>185.70412300000001</c:v>
                </c:pt>
                <c:pt idx="8">
                  <c:v>197.88512700000001</c:v>
                </c:pt>
                <c:pt idx="9">
                  <c:v>157.20648700000001</c:v>
                </c:pt>
                <c:pt idx="10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CA-46BD-95CE-EFABB962F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990304"/>
        <c:axId val="1333990784"/>
      </c:lineChart>
      <c:catAx>
        <c:axId val="133399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90784"/>
        <c:crosses val="autoZero"/>
        <c:auto val="1"/>
        <c:lblAlgn val="ctr"/>
        <c:lblOffset val="100"/>
        <c:tickMarkSkip val="1"/>
        <c:noMultiLvlLbl val="0"/>
      </c:catAx>
      <c:valAx>
        <c:axId val="1333990784"/>
        <c:scaling>
          <c:orientation val="minMax"/>
          <c:max val="2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System</a:t>
                </a:r>
                <a:r>
                  <a:rPr lang="en-US" sz="1800" baseline="0"/>
                  <a:t> LCOE [USD/MWh]</a:t>
                </a:r>
                <a:endParaRPr lang="en-US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903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10086317884707"/>
          <c:y val="0.10865594476613628"/>
          <c:w val="0.21347525746953419"/>
          <c:h val="0.68550320605730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title>
    <cx:plotArea>
      <cx:plotAreaRegion>
        <cx:plotSurface>
          <cx:spPr>
            <a:ln>
              <a:noFill/>
            </a:ln>
          </cx:spPr>
        </cx:plotSurface>
        <cx:series layoutId="boxWhisker" uniqueId="{07B31B7A-D9BD-42C5-B49D-BE10CEC1EDB0}">
          <cx:spPr>
            <a:noFill/>
            <a:ln w="34925">
              <a:solidFill>
                <a:srgbClr val="C0000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en-US" sz="900" b="0" i="0" u="none" strike="noStrike" baseline="0">
              <a:noFill/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LCOE Across countries [USD/MWh]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LCOE Across countries [USD/MWh]</a:t>
              </a:r>
            </a:p>
          </cx:txPr>
        </cx:title>
        <cx:majorGridlines/>
        <cx:tickLabels/>
        <cx:numFmt formatCode="0" sourceLinked="0"/>
        <cx:spPr>
          <a:ln w="15875">
            <a:solidFill>
              <a:schemeClr val="accent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Regional 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System  LCOE</a:t>
            </a:r>
          </a:p>
        </cx:rich>
      </cx:tx>
    </cx:title>
    <cx:plotArea>
      <cx:plotAreaRegion>
        <cx:series layoutId="boxWhisker" uniqueId="{F2C80A67-4C60-43C0-B5D5-7FCD4417E146}">
          <cx:tx>
            <cx:txData>
              <cx:f/>
              <cx:v>Scenarios with remaining fossil fuel LCOE</cx:v>
            </cx:txData>
          </cx:tx>
          <cx:dataId val="0"/>
          <cx:layoutPr>
            <cx:visibility nonoutliers="0"/>
            <cx:statistics quartileMethod="exclusive"/>
          </cx:layoutPr>
        </cx:series>
        <cx:series layoutId="boxWhisker" uniqueId="{00000000-2B04-472E-ADF6-CFFB25929642}">
          <cx:tx>
            <cx:txData>
              <cx:f/>
              <cx:v>100% RE Scenarios LCOE</cx:v>
            </cx:txData>
          </cx:tx>
          <cx:dataId val="1"/>
          <cx:layoutPr>
            <cx:visibility nonoutliers="0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200"/>
        <cx:title>
          <cx:tx>
            <cx:txData>
              <cx:v>System LCOE [US$/MWh]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600"/>
              </a:pPr>
              <a:r>
                <a:rPr lang="en-US" sz="16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System LCOE [US$/MWh]</a:t>
              </a:r>
            </a:p>
          </cx:txPr>
        </cx:title>
        <cx:majorGridlines>
          <cx:spPr>
            <a:ln>
              <a:noFill/>
            </a:ln>
          </cx:spPr>
        </cx:majorGridlines>
        <cx:tickLabels/>
        <cx:numFmt formatCode="[$$-en-US]#,##0" sourceLinked="0"/>
        <cx:spPr>
          <a:ln w="25400">
            <a:solidFill>
              <a:schemeClr val="accent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411162</xdr:colOff>
      <xdr:row>1</xdr:row>
      <xdr:rowOff>41274</xdr:rowOff>
    </xdr:from>
    <xdr:to>
      <xdr:col>14</xdr:col>
      <xdr:colOff>476250</xdr:colOff>
      <xdr:row>18</xdr:row>
      <xdr:rowOff>73025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BE008C-72FA-1410-DA94-8161078167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4187" y="228599"/>
              <a:ext cx="2611438" cy="32162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466726</xdr:colOff>
      <xdr:row>14</xdr:row>
      <xdr:rowOff>130175</xdr:rowOff>
    </xdr:from>
    <xdr:to>
      <xdr:col>9</xdr:col>
      <xdr:colOff>285750</xdr:colOff>
      <xdr:row>44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4BB42-177B-DA8A-7DFB-BFD70CE40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255587</xdr:colOff>
      <xdr:row>1</xdr:row>
      <xdr:rowOff>38099</xdr:rowOff>
    </xdr:from>
    <xdr:to>
      <xdr:col>14</xdr:col>
      <xdr:colOff>276225</xdr:colOff>
      <xdr:row>39</xdr:row>
      <xdr:rowOff>9524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46DE7E2-DA33-1296-C0FA-07C26C6EB40B}"/>
            </a:ext>
          </a:extLst>
        </xdr:cNvPr>
        <xdr:cNvGrpSpPr/>
      </xdr:nvGrpSpPr>
      <xdr:grpSpPr>
        <a:xfrm>
          <a:off x="6249987" y="225424"/>
          <a:ext cx="4897438" cy="7651750"/>
          <a:chOff x="6253162" y="225424"/>
          <a:chExt cx="4897438" cy="7839075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" name="Chart 1">
                <a:extLst>
                  <a:ext uri="{FF2B5EF4-FFF2-40B4-BE49-F238E27FC236}">
                    <a16:creationId xmlns:a16="http://schemas.microsoft.com/office/drawing/2014/main" id="{7D5912D3-398C-48DC-9086-15FB1238AA01}"/>
                  </a:ext>
                </a:extLst>
              </xdr:cNvPr>
              <xdr:cNvGraphicFramePr/>
            </xdr:nvGraphicFramePr>
            <xdr:xfrm>
              <a:off x="6253162" y="225424"/>
              <a:ext cx="4897438" cy="7839075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253162" y="225424"/>
                <a:ext cx="4897438" cy="783907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F9FF219D-9B7B-4BAD-A195-43C9FCE5C999}"/>
              </a:ext>
            </a:extLst>
          </xdr:cNvPr>
          <xdr:cNvCxnSpPr/>
        </xdr:nvCxnSpPr>
        <xdr:spPr>
          <a:xfrm>
            <a:off x="7099300" y="1203325"/>
            <a:ext cx="2590800" cy="9525"/>
          </a:xfrm>
          <a:prstGeom prst="line">
            <a:avLst/>
          </a:prstGeom>
          <a:ln w="22225"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obert Brecha" id="{146EBF17-5E42-43DF-B8F3-276031279EF9}" userId="3a2d9f5793fff247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5-11-14T08:19:19.35" personId="{146EBF17-5E42-43DF-B8F3-276031279EF9}" id="{2747A1C9-9E04-4F9A-8C5D-7DF2171C9716}">
    <text xml:space="preserve">Here the lcoe is per MWh produced total, but with H2, there are significant losses, so a fraction of that energy is not end-use electricity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7" dT="2026-01-06T15:33:43.67" personId="{146EBF17-5E42-43DF-B8F3-276031279EF9}" id="{B9DA4F89-730C-41A6-8959-65D832130AD1}">
    <text>LCOE for the 8/10 achieving 100% RE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D8BB8-4D02-4E1F-9B3E-ADDEB2F087B6}">
  <sheetPr>
    <tabColor rgb="FFFFFF00"/>
  </sheetPr>
  <dimension ref="B1:G13"/>
  <sheetViews>
    <sheetView workbookViewId="0">
      <selection activeCell="E5" sqref="E5"/>
    </sheetView>
  </sheetViews>
  <sheetFormatPr defaultRowHeight="14.75"/>
  <cols>
    <col min="3" max="3" width="14.54296875" customWidth="1"/>
    <col min="7" max="7" width="10.7265625" customWidth="1"/>
  </cols>
  <sheetData>
    <row r="1" spans="2:7">
      <c r="B1" t="s">
        <v>216</v>
      </c>
    </row>
    <row r="2" spans="2:7" ht="15.5" thickBot="1"/>
    <row r="3" spans="2:7" ht="47" thickBot="1">
      <c r="C3" s="44"/>
      <c r="D3" s="44" t="s">
        <v>153</v>
      </c>
      <c r="E3" s="44" t="s">
        <v>154</v>
      </c>
      <c r="F3" s="44" t="s">
        <v>155</v>
      </c>
      <c r="G3" s="46" t="s">
        <v>156</v>
      </c>
    </row>
    <row r="4" spans="2:7" ht="15.5" thickBot="1">
      <c r="C4" s="44" t="s">
        <v>9</v>
      </c>
      <c r="D4" s="45">
        <v>281</v>
      </c>
      <c r="E4" s="45">
        <v>370</v>
      </c>
      <c r="F4" s="45">
        <v>100</v>
      </c>
      <c r="G4" s="46" t="s">
        <v>152</v>
      </c>
    </row>
    <row r="5" spans="2:7" ht="15.5" thickBot="1">
      <c r="C5" s="44" t="s">
        <v>11</v>
      </c>
      <c r="D5" s="45">
        <v>432</v>
      </c>
      <c r="E5" s="45">
        <v>570</v>
      </c>
      <c r="F5" s="45">
        <v>150</v>
      </c>
      <c r="G5" s="46" t="s">
        <v>152</v>
      </c>
    </row>
    <row r="6" spans="2:7" ht="15.5" thickBot="1">
      <c r="C6" s="44" t="s">
        <v>12</v>
      </c>
      <c r="D6" s="45">
        <v>750</v>
      </c>
      <c r="E6" s="45">
        <v>1000</v>
      </c>
      <c r="F6" s="45">
        <v>300</v>
      </c>
      <c r="G6" s="46">
        <v>15</v>
      </c>
    </row>
    <row r="7" spans="2:7" ht="15.5" thickBot="1">
      <c r="C7" s="44" t="s">
        <v>13</v>
      </c>
      <c r="D7" s="45">
        <v>1628</v>
      </c>
      <c r="E7" s="45">
        <v>2200</v>
      </c>
      <c r="F7" s="45">
        <v>600</v>
      </c>
      <c r="G7" s="46">
        <v>50</v>
      </c>
    </row>
    <row r="8" spans="2:7" ht="15.5" thickBot="1">
      <c r="C8" s="44" t="s">
        <v>14</v>
      </c>
      <c r="D8" s="45">
        <v>349</v>
      </c>
      <c r="E8" s="45">
        <v>470</v>
      </c>
      <c r="F8" s="45">
        <v>120</v>
      </c>
      <c r="G8" s="46">
        <v>20</v>
      </c>
    </row>
    <row r="9" spans="2:7" ht="15.5" thickBot="1">
      <c r="C9" s="44" t="s">
        <v>15</v>
      </c>
      <c r="D9" s="45">
        <v>617</v>
      </c>
      <c r="E9" s="45">
        <v>800</v>
      </c>
      <c r="F9" s="45">
        <v>200</v>
      </c>
      <c r="G9" s="46">
        <v>30</v>
      </c>
    </row>
    <row r="10" spans="2:7" ht="15.5" thickBot="1">
      <c r="C10" s="44" t="s">
        <v>16</v>
      </c>
      <c r="D10" s="45">
        <v>102</v>
      </c>
      <c r="E10" s="45">
        <v>133</v>
      </c>
      <c r="F10" s="45">
        <v>30</v>
      </c>
      <c r="G10" s="46">
        <v>5</v>
      </c>
    </row>
    <row r="11" spans="2:7" ht="15.5" thickBot="1">
      <c r="C11" s="44" t="s">
        <v>17</v>
      </c>
      <c r="D11" s="45">
        <v>1128</v>
      </c>
      <c r="E11" s="45">
        <v>1500</v>
      </c>
      <c r="F11" s="45">
        <v>400</v>
      </c>
      <c r="G11" s="46">
        <v>50</v>
      </c>
    </row>
    <row r="12" spans="2:7" ht="15.5" thickBot="1">
      <c r="C12" s="44" t="s">
        <v>18</v>
      </c>
      <c r="D12" s="45">
        <v>261</v>
      </c>
      <c r="E12" s="45">
        <v>350</v>
      </c>
      <c r="F12" s="45">
        <v>100</v>
      </c>
      <c r="G12" s="46">
        <v>30</v>
      </c>
    </row>
    <row r="13" spans="2:7" ht="15.5" thickBot="1">
      <c r="C13" s="44" t="s">
        <v>19</v>
      </c>
      <c r="D13" s="45">
        <v>345</v>
      </c>
      <c r="E13" s="45">
        <v>460</v>
      </c>
      <c r="F13" s="45">
        <v>120</v>
      </c>
      <c r="G13" s="4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87BA-E58E-4CD7-B4CE-C4011ADF4260}">
  <sheetPr>
    <tabColor theme="2" tint="-0.249977111117893"/>
  </sheetPr>
  <dimension ref="A1:M61"/>
  <sheetViews>
    <sheetView zoomScale="90" zoomScaleNormal="90" workbookViewId="0">
      <selection activeCell="E57" sqref="E57"/>
    </sheetView>
  </sheetViews>
  <sheetFormatPr defaultRowHeight="14.75"/>
  <cols>
    <col min="2" max="2" width="11.1328125" customWidth="1"/>
    <col min="6" max="6" width="11" customWidth="1"/>
    <col min="12" max="12" width="10.26953125" customWidth="1"/>
  </cols>
  <sheetData>
    <row r="1" spans="1:13">
      <c r="A1" s="1"/>
      <c r="B1" s="1" t="s">
        <v>100</v>
      </c>
      <c r="C1" s="1"/>
      <c r="D1" s="1"/>
      <c r="E1" s="1" t="s">
        <v>94</v>
      </c>
      <c r="F1" s="1"/>
      <c r="G1" s="1"/>
      <c r="H1" s="1"/>
      <c r="I1" s="1"/>
      <c r="J1" s="1"/>
      <c r="K1" s="1"/>
      <c r="L1" s="1"/>
      <c r="M1" s="1"/>
    </row>
    <row r="2" spans="1:13">
      <c r="A2" s="1"/>
      <c r="B2" s="13">
        <v>45700</v>
      </c>
      <c r="M2" s="1"/>
    </row>
    <row r="3" spans="1:13">
      <c r="A3" s="1"/>
      <c r="F3" t="s">
        <v>35</v>
      </c>
      <c r="G3">
        <v>183</v>
      </c>
      <c r="H3" t="s">
        <v>36</v>
      </c>
      <c r="M3" s="1"/>
    </row>
    <row r="4" spans="1:13">
      <c r="A4" s="1"/>
      <c r="B4" s="4"/>
      <c r="F4" s="4" t="s">
        <v>8</v>
      </c>
      <c r="M4" s="1"/>
    </row>
    <row r="5" spans="1:13">
      <c r="A5" s="1"/>
      <c r="B5" s="4"/>
      <c r="C5" s="7"/>
      <c r="D5" s="7"/>
      <c r="F5" s="4" t="s">
        <v>9</v>
      </c>
      <c r="G5" s="7">
        <v>202.11972900000001</v>
      </c>
      <c r="M5" s="1"/>
    </row>
    <row r="6" spans="1:13">
      <c r="A6" s="1"/>
      <c r="B6" s="4"/>
      <c r="C6" s="7"/>
      <c r="D6" s="7"/>
      <c r="F6" s="4" t="s">
        <v>11</v>
      </c>
      <c r="G6" s="7">
        <v>184.54548</v>
      </c>
      <c r="M6" s="1"/>
    </row>
    <row r="7" spans="1:13">
      <c r="A7" s="1"/>
      <c r="B7" s="4"/>
      <c r="C7" s="7"/>
      <c r="D7" s="7"/>
      <c r="F7" s="4" t="s">
        <v>12</v>
      </c>
      <c r="G7" s="7">
        <v>128.867794</v>
      </c>
      <c r="M7" s="1"/>
    </row>
    <row r="8" spans="1:13">
      <c r="A8" s="1"/>
      <c r="B8" s="4"/>
      <c r="C8" s="7"/>
      <c r="D8" s="7"/>
      <c r="F8" s="4" t="s">
        <v>13</v>
      </c>
      <c r="G8" s="7">
        <v>171.72627299999999</v>
      </c>
      <c r="M8" s="1"/>
    </row>
    <row r="9" spans="1:13">
      <c r="A9" s="1"/>
      <c r="B9" s="4"/>
      <c r="C9" s="7"/>
      <c r="D9" s="7"/>
      <c r="F9" s="4" t="s">
        <v>14</v>
      </c>
      <c r="G9" s="7">
        <v>201.660687</v>
      </c>
      <c r="M9" s="1"/>
    </row>
    <row r="10" spans="1:13">
      <c r="A10" s="1"/>
      <c r="B10" s="4"/>
      <c r="C10" s="7"/>
      <c r="D10" s="7"/>
      <c r="F10" s="4" t="s">
        <v>15</v>
      </c>
      <c r="G10" s="7">
        <v>201.485254</v>
      </c>
      <c r="M10" s="1"/>
    </row>
    <row r="11" spans="1:13">
      <c r="A11" s="1"/>
      <c r="B11" s="4"/>
      <c r="C11" s="7"/>
      <c r="D11" s="7"/>
      <c r="F11" s="4" t="s">
        <v>16</v>
      </c>
      <c r="G11" s="7">
        <v>191.20420200000001</v>
      </c>
      <c r="M11" s="1"/>
    </row>
    <row r="12" spans="1:13">
      <c r="A12" s="1"/>
      <c r="B12" s="4"/>
      <c r="C12" s="7"/>
      <c r="D12" s="7"/>
      <c r="F12" s="4" t="s">
        <v>17</v>
      </c>
      <c r="G12" s="7">
        <v>185.70412300000001</v>
      </c>
      <c r="M12" s="1"/>
    </row>
    <row r="13" spans="1:13">
      <c r="A13" s="1"/>
      <c r="B13" s="4"/>
      <c r="C13" s="7"/>
      <c r="D13" s="7"/>
      <c r="F13" s="4" t="s">
        <v>18</v>
      </c>
      <c r="G13" s="7">
        <v>197.88512700000001</v>
      </c>
      <c r="M13" s="1"/>
    </row>
    <row r="14" spans="1:13">
      <c r="A14" s="1"/>
      <c r="B14" s="4"/>
      <c r="C14" s="7"/>
      <c r="D14" s="7"/>
      <c r="F14" s="4" t="s">
        <v>19</v>
      </c>
      <c r="G14" s="7">
        <v>157.20648700000001</v>
      </c>
      <c r="M14" s="1"/>
    </row>
    <row r="15" spans="1:13">
      <c r="A15" s="1"/>
      <c r="M15" s="1"/>
    </row>
    <row r="16" spans="1:13">
      <c r="A16" s="1"/>
      <c r="B16" t="s">
        <v>20</v>
      </c>
      <c r="M16" s="1"/>
    </row>
    <row r="17" spans="1:13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/>
      <c r="K17" s="10"/>
      <c r="L17" s="10"/>
      <c r="M17" s="1"/>
    </row>
    <row r="18" spans="1:13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K18" s="10"/>
      <c r="L18" s="10"/>
      <c r="M18" s="1"/>
    </row>
    <row r="19" spans="1:13">
      <c r="A19" s="1"/>
      <c r="B19" s="2" t="s">
        <v>9</v>
      </c>
      <c r="C19" s="3" t="s">
        <v>10</v>
      </c>
      <c r="D19" s="3" t="s">
        <v>10</v>
      </c>
      <c r="E19" s="3">
        <v>67.2</v>
      </c>
      <c r="F19" s="3" t="s">
        <v>10</v>
      </c>
      <c r="G19" s="3" t="s">
        <v>10</v>
      </c>
      <c r="H19" s="3">
        <v>6</v>
      </c>
      <c r="I19" s="3">
        <v>0</v>
      </c>
      <c r="J19" s="11"/>
      <c r="K19" s="11"/>
      <c r="L19" s="11"/>
      <c r="M19" s="1"/>
    </row>
    <row r="20" spans="1:13">
      <c r="A20" s="1"/>
      <c r="B20" s="2" t="s">
        <v>11</v>
      </c>
      <c r="C20" s="3">
        <v>0</v>
      </c>
      <c r="D20" s="3" t="s">
        <v>10</v>
      </c>
      <c r="E20" s="3">
        <v>186</v>
      </c>
      <c r="F20" s="3" t="s">
        <v>10</v>
      </c>
      <c r="G20" s="3" t="s">
        <v>10</v>
      </c>
      <c r="H20" s="3">
        <v>108</v>
      </c>
      <c r="I20" s="3">
        <v>0</v>
      </c>
      <c r="J20" s="11"/>
      <c r="K20" s="11"/>
      <c r="L20" s="11"/>
      <c r="M20" s="1"/>
    </row>
    <row r="21" spans="1:13">
      <c r="A21" s="1"/>
      <c r="B21" s="2" t="s">
        <v>12</v>
      </c>
      <c r="C21" s="3" t="s">
        <v>10</v>
      </c>
      <c r="D21" s="3" t="s">
        <v>10</v>
      </c>
      <c r="E21" s="3">
        <v>13.4</v>
      </c>
      <c r="F21" s="3">
        <v>0</v>
      </c>
      <c r="G21" s="3">
        <v>6.6</v>
      </c>
      <c r="H21" s="3">
        <v>0</v>
      </c>
      <c r="I21" s="3">
        <v>0</v>
      </c>
      <c r="J21" s="11"/>
      <c r="K21" s="11"/>
      <c r="L21" s="11"/>
      <c r="M21" s="1"/>
    </row>
    <row r="22" spans="1:13">
      <c r="A22" s="1"/>
      <c r="B22" s="2" t="s">
        <v>13</v>
      </c>
      <c r="C22" s="3">
        <v>3.7</v>
      </c>
      <c r="D22" s="3">
        <v>0</v>
      </c>
      <c r="E22" s="3">
        <v>262.8141</v>
      </c>
      <c r="F22" s="3">
        <v>14.7</v>
      </c>
      <c r="G22" s="3">
        <v>10.5</v>
      </c>
      <c r="H22" s="3">
        <v>70</v>
      </c>
      <c r="I22" s="3">
        <v>22.1</v>
      </c>
      <c r="J22" s="11"/>
      <c r="K22" s="11"/>
      <c r="L22" s="11"/>
      <c r="M22" s="1"/>
    </row>
    <row r="23" spans="1:13">
      <c r="A23" s="1"/>
      <c r="B23" s="2" t="s">
        <v>14</v>
      </c>
      <c r="C23" s="3" t="s">
        <v>10</v>
      </c>
      <c r="D23" s="3" t="s">
        <v>10</v>
      </c>
      <c r="E23" s="3">
        <v>40.200000000000003</v>
      </c>
      <c r="F23" s="3">
        <v>0</v>
      </c>
      <c r="G23" s="3">
        <v>0</v>
      </c>
      <c r="H23" s="3">
        <v>4</v>
      </c>
      <c r="I23" s="3">
        <v>0</v>
      </c>
      <c r="J23" s="11"/>
      <c r="K23" s="11"/>
      <c r="L23" s="11"/>
      <c r="M23" s="1"/>
    </row>
    <row r="24" spans="1:13">
      <c r="A24" s="1"/>
      <c r="B24" s="2" t="s">
        <v>15</v>
      </c>
      <c r="C24" s="3" t="s">
        <v>10</v>
      </c>
      <c r="D24" s="3" t="s">
        <v>10</v>
      </c>
      <c r="E24" s="3">
        <v>73</v>
      </c>
      <c r="F24" s="3">
        <v>0</v>
      </c>
      <c r="G24" s="3" t="s">
        <v>10</v>
      </c>
      <c r="H24" s="3">
        <v>8</v>
      </c>
      <c r="I24" s="3">
        <v>0</v>
      </c>
      <c r="J24" s="11"/>
      <c r="K24" s="11"/>
      <c r="L24" s="11"/>
      <c r="M24" s="1"/>
    </row>
    <row r="25" spans="1:13">
      <c r="A25" s="1"/>
      <c r="B25" s="2" t="s">
        <v>16</v>
      </c>
      <c r="C25" s="3" t="s">
        <v>10</v>
      </c>
      <c r="D25" s="3" t="s">
        <v>10</v>
      </c>
      <c r="E25" s="3">
        <v>2.54</v>
      </c>
      <c r="F25" s="3">
        <v>0</v>
      </c>
      <c r="G25" s="3" t="s">
        <v>10</v>
      </c>
      <c r="H25" s="3">
        <v>1</v>
      </c>
      <c r="I25" s="3">
        <v>0</v>
      </c>
      <c r="J25" s="11"/>
      <c r="K25" s="11"/>
      <c r="L25" s="11"/>
      <c r="M25" s="1"/>
    </row>
    <row r="26" spans="1:13">
      <c r="A26" s="1"/>
      <c r="B26" s="2" t="s">
        <v>17</v>
      </c>
      <c r="C26" s="3">
        <v>41.4</v>
      </c>
      <c r="D26" s="3" t="s">
        <v>10</v>
      </c>
      <c r="E26" s="3">
        <v>233.381</v>
      </c>
      <c r="F26" s="3">
        <v>0</v>
      </c>
      <c r="G26" s="3" t="s">
        <v>10</v>
      </c>
      <c r="H26" s="3">
        <v>76.7</v>
      </c>
      <c r="I26" s="3">
        <v>13</v>
      </c>
      <c r="J26" s="11"/>
      <c r="K26" s="11"/>
      <c r="L26" s="11"/>
      <c r="M26" s="1"/>
    </row>
    <row r="27" spans="1:13">
      <c r="A27" s="1"/>
      <c r="B27" s="2" t="s">
        <v>18</v>
      </c>
      <c r="C27" s="3" t="s">
        <v>10</v>
      </c>
      <c r="D27" s="3" t="s">
        <v>10</v>
      </c>
      <c r="E27" s="3">
        <v>40.9465</v>
      </c>
      <c r="F27" s="3">
        <v>0</v>
      </c>
      <c r="G27" s="3" t="s">
        <v>10</v>
      </c>
      <c r="H27" s="3">
        <v>1.5</v>
      </c>
      <c r="I27" s="3">
        <v>2.2000000000000002</v>
      </c>
      <c r="J27" s="11"/>
      <c r="K27" s="11"/>
      <c r="L27" s="11"/>
      <c r="M27" s="1"/>
    </row>
    <row r="28" spans="1:13">
      <c r="A28" s="1"/>
      <c r="B28" s="2" t="s">
        <v>19</v>
      </c>
      <c r="C28" s="3" t="s">
        <v>10</v>
      </c>
      <c r="D28" s="3" t="s">
        <v>10</v>
      </c>
      <c r="E28" s="3">
        <v>22.337599999999998</v>
      </c>
      <c r="F28" s="3">
        <v>0</v>
      </c>
      <c r="G28" s="3">
        <v>5.6</v>
      </c>
      <c r="H28" s="3">
        <v>1.8</v>
      </c>
      <c r="I28" s="3">
        <v>0</v>
      </c>
      <c r="J28" s="11"/>
      <c r="K28" s="11"/>
      <c r="L28" s="11"/>
      <c r="M28" s="1"/>
    </row>
    <row r="29" spans="1:13" ht="44.25">
      <c r="A29" s="1"/>
      <c r="B29" s="8" t="s">
        <v>47</v>
      </c>
      <c r="J29" s="10" t="s">
        <v>48</v>
      </c>
      <c r="K29" s="10" t="s">
        <v>49</v>
      </c>
      <c r="L29" s="10" t="s">
        <v>106</v>
      </c>
      <c r="M29" s="1"/>
    </row>
    <row r="30" spans="1:13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K30" s="10"/>
      <c r="L30" s="10"/>
      <c r="M30" s="1"/>
    </row>
    <row r="31" spans="1:13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K31" s="10"/>
      <c r="L31" s="10"/>
      <c r="M31" s="1"/>
    </row>
    <row r="32" spans="1:13">
      <c r="A32" s="1"/>
      <c r="B32" s="2" t="s">
        <v>9</v>
      </c>
      <c r="C32" s="3" t="s">
        <v>10</v>
      </c>
      <c r="D32" s="3" t="s">
        <v>10</v>
      </c>
      <c r="E32" s="3">
        <v>426.32024799999999</v>
      </c>
      <c r="F32" s="3" t="s">
        <v>10</v>
      </c>
      <c r="G32" s="3" t="s">
        <v>10</v>
      </c>
      <c r="H32" s="3">
        <v>10.695792000000001</v>
      </c>
      <c r="I32" s="3">
        <v>0</v>
      </c>
      <c r="J32" s="12">
        <f>H32/(SUM($C32:$I32))</f>
        <v>2.4474598232138118E-2</v>
      </c>
      <c r="K32" s="12">
        <f>I32/(SUM($C32:$I32))</f>
        <v>0</v>
      </c>
      <c r="L32" s="24">
        <f>E32*$E$57</f>
        <v>281.37136368</v>
      </c>
      <c r="M32" s="1"/>
    </row>
    <row r="33" spans="1:13">
      <c r="A33" s="1"/>
      <c r="B33" s="2" t="s">
        <v>11</v>
      </c>
      <c r="C33" s="3">
        <v>0</v>
      </c>
      <c r="D33" s="3" t="s">
        <v>10</v>
      </c>
      <c r="E33" s="3">
        <v>1011.177792</v>
      </c>
      <c r="F33" s="3" t="s">
        <v>10</v>
      </c>
      <c r="G33" s="3" t="s">
        <v>10</v>
      </c>
      <c r="H33" s="3">
        <v>190.74430799999999</v>
      </c>
      <c r="I33" s="3">
        <v>0</v>
      </c>
      <c r="J33" s="12">
        <f t="shared" ref="J33:K41" si="0">H33/(SUM($C33:$I33))</f>
        <v>0.15869939324686683</v>
      </c>
      <c r="K33" s="12">
        <f t="shared" si="0"/>
        <v>0</v>
      </c>
      <c r="L33" s="24">
        <f t="shared" ref="L33:L41" si="1">E33*$E$57</f>
        <v>667.37734272</v>
      </c>
      <c r="M33" s="1"/>
    </row>
    <row r="34" spans="1:13">
      <c r="A34" s="1"/>
      <c r="B34" s="2" t="s">
        <v>12</v>
      </c>
      <c r="C34" s="3" t="s">
        <v>10</v>
      </c>
      <c r="D34" s="3" t="s">
        <v>10</v>
      </c>
      <c r="E34" s="3">
        <v>69.664900000000003</v>
      </c>
      <c r="F34" s="3">
        <v>0</v>
      </c>
      <c r="G34" s="3">
        <v>57.816000000000003</v>
      </c>
      <c r="H34" s="3">
        <v>0</v>
      </c>
      <c r="I34" s="3">
        <v>0</v>
      </c>
      <c r="J34" s="12">
        <f t="shared" si="0"/>
        <v>0</v>
      </c>
      <c r="K34" s="12">
        <f t="shared" si="0"/>
        <v>0</v>
      </c>
      <c r="L34" s="24">
        <f t="shared" si="1"/>
        <v>45.978834000000006</v>
      </c>
      <c r="M34" s="1"/>
    </row>
    <row r="35" spans="1:13">
      <c r="A35" s="1"/>
      <c r="B35" s="2" t="s">
        <v>13</v>
      </c>
      <c r="C35" s="3">
        <v>32.411999999999999</v>
      </c>
      <c r="D35" s="3">
        <v>0</v>
      </c>
      <c r="E35" s="3">
        <v>1524.4081779999999</v>
      </c>
      <c r="F35" s="3">
        <v>128.77199999999999</v>
      </c>
      <c r="G35" s="3">
        <v>91.98</v>
      </c>
      <c r="H35" s="3">
        <v>124.5307</v>
      </c>
      <c r="I35" s="3">
        <v>101.067322</v>
      </c>
      <c r="J35" s="12">
        <f t="shared" si="0"/>
        <v>6.2166809390435215E-2</v>
      </c>
      <c r="K35" s="12">
        <f t="shared" si="0"/>
        <v>5.0453686860956699E-2</v>
      </c>
      <c r="L35" s="24">
        <f t="shared" si="1"/>
        <v>1006.10939748</v>
      </c>
      <c r="M35" s="1"/>
    </row>
    <row r="36" spans="1:13">
      <c r="A36" s="1"/>
      <c r="B36" s="2" t="s">
        <v>14</v>
      </c>
      <c r="C36" s="3" t="s">
        <v>10</v>
      </c>
      <c r="D36" s="3" t="s">
        <v>10</v>
      </c>
      <c r="E36" s="3">
        <v>257.13632000000001</v>
      </c>
      <c r="F36" s="3">
        <v>0</v>
      </c>
      <c r="G36" s="3">
        <v>0</v>
      </c>
      <c r="H36" s="3">
        <v>6.8823800000000004</v>
      </c>
      <c r="I36" s="3">
        <v>0</v>
      </c>
      <c r="J36" s="12">
        <f t="shared" si="0"/>
        <v>2.606777474474346E-2</v>
      </c>
      <c r="K36" s="12">
        <f t="shared" si="0"/>
        <v>0</v>
      </c>
      <c r="L36" s="24">
        <f t="shared" si="1"/>
        <v>169.70997120000001</v>
      </c>
      <c r="M36" s="1"/>
    </row>
    <row r="37" spans="1:13">
      <c r="A37" s="1"/>
      <c r="B37" s="2" t="s">
        <v>15</v>
      </c>
      <c r="C37" s="3" t="s">
        <v>10</v>
      </c>
      <c r="D37" s="3" t="s">
        <v>10</v>
      </c>
      <c r="E37" s="3">
        <v>459.273056</v>
      </c>
      <c r="F37" s="3">
        <v>0</v>
      </c>
      <c r="G37" s="3" t="s">
        <v>10</v>
      </c>
      <c r="H37" s="3">
        <v>14.166344</v>
      </c>
      <c r="I37" s="3">
        <v>0</v>
      </c>
      <c r="J37" s="12">
        <f t="shared" si="0"/>
        <v>2.9922190675300792E-2</v>
      </c>
      <c r="K37" s="12">
        <f t="shared" si="0"/>
        <v>0</v>
      </c>
      <c r="L37" s="24">
        <f t="shared" si="1"/>
        <v>303.12021695999999</v>
      </c>
      <c r="M37" s="1"/>
    </row>
    <row r="38" spans="1:13">
      <c r="A38" s="1"/>
      <c r="B38" s="2" t="s">
        <v>16</v>
      </c>
      <c r="C38" s="3" t="s">
        <v>10</v>
      </c>
      <c r="D38" s="3" t="s">
        <v>10</v>
      </c>
      <c r="E38" s="3">
        <v>14.612479</v>
      </c>
      <c r="F38" s="3">
        <v>0</v>
      </c>
      <c r="G38" s="3" t="s">
        <v>10</v>
      </c>
      <c r="H38" s="3">
        <v>1.778041</v>
      </c>
      <c r="I38" s="3">
        <v>0</v>
      </c>
      <c r="J38" s="12">
        <f t="shared" si="0"/>
        <v>0.10847984078601532</v>
      </c>
      <c r="K38" s="12">
        <f t="shared" si="0"/>
        <v>0</v>
      </c>
      <c r="L38" s="24">
        <f t="shared" si="1"/>
        <v>9.6442361400000003</v>
      </c>
      <c r="M38" s="1"/>
    </row>
    <row r="39" spans="1:13">
      <c r="A39" s="1"/>
      <c r="B39" s="2" t="s">
        <v>17</v>
      </c>
      <c r="C39" s="3">
        <v>362.66399999999999</v>
      </c>
      <c r="D39" s="3" t="s">
        <v>10</v>
      </c>
      <c r="E39" s="3">
        <v>1257.489707</v>
      </c>
      <c r="F39" s="3">
        <v>0</v>
      </c>
      <c r="G39" s="3" t="s">
        <v>10</v>
      </c>
      <c r="H39" s="3">
        <v>136.52346900000001</v>
      </c>
      <c r="I39" s="3">
        <v>64.396124</v>
      </c>
      <c r="J39" s="12">
        <f t="shared" si="0"/>
        <v>7.4968684127102406E-2</v>
      </c>
      <c r="K39" s="12">
        <f t="shared" si="0"/>
        <v>3.5361632066100795E-2</v>
      </c>
      <c r="L39" s="24">
        <f t="shared" si="1"/>
        <v>829.94320661999996</v>
      </c>
      <c r="M39" s="1"/>
    </row>
    <row r="40" spans="1:13">
      <c r="A40" s="1"/>
      <c r="B40" s="2" t="s">
        <v>18</v>
      </c>
      <c r="C40" s="3" t="s">
        <v>10</v>
      </c>
      <c r="D40" s="3" t="s">
        <v>10</v>
      </c>
      <c r="E40" s="3">
        <v>260.98489499999999</v>
      </c>
      <c r="F40" s="3">
        <v>0</v>
      </c>
      <c r="G40" s="3" t="s">
        <v>10</v>
      </c>
      <c r="H40" s="3">
        <v>2.6574420000000001</v>
      </c>
      <c r="I40" s="3">
        <v>9.5405130000000007</v>
      </c>
      <c r="J40" s="12">
        <f t="shared" si="0"/>
        <v>9.7277043562580892E-3</v>
      </c>
      <c r="K40" s="12">
        <f t="shared" si="0"/>
        <v>3.4923542967649698E-2</v>
      </c>
      <c r="L40" s="24">
        <f t="shared" si="1"/>
        <v>172.2500307</v>
      </c>
      <c r="M40" s="1"/>
    </row>
    <row r="41" spans="1:13">
      <c r="A41" s="1"/>
      <c r="B41" s="2" t="s">
        <v>19</v>
      </c>
      <c r="C41" s="3" t="s">
        <v>10</v>
      </c>
      <c r="D41" s="3" t="s">
        <v>10</v>
      </c>
      <c r="E41" s="3">
        <v>129.89016599999999</v>
      </c>
      <c r="F41" s="3">
        <v>0</v>
      </c>
      <c r="G41" s="3">
        <v>49.055999999999997</v>
      </c>
      <c r="H41" s="3">
        <v>3.1704340000000002</v>
      </c>
      <c r="I41" s="3">
        <v>0</v>
      </c>
      <c r="J41" s="12">
        <f t="shared" si="0"/>
        <v>1.7408813913723405E-2</v>
      </c>
      <c r="K41" s="12">
        <f t="shared" si="0"/>
        <v>0</v>
      </c>
      <c r="L41" s="24">
        <f t="shared" si="1"/>
        <v>85.727509560000001</v>
      </c>
      <c r="M41" s="1"/>
    </row>
    <row r="42" spans="1:13">
      <c r="A42" s="1"/>
      <c r="M42" s="1"/>
    </row>
    <row r="43" spans="1:13">
      <c r="A43" s="1"/>
      <c r="B43" s="2" t="s">
        <v>9</v>
      </c>
      <c r="C43" t="e">
        <f t="shared" ref="C43:I52" si="2">C32/(C19*8.76)</f>
        <v>#VALUE!</v>
      </c>
      <c r="D43" t="e">
        <f t="shared" si="2"/>
        <v>#VALUE!</v>
      </c>
      <c r="E43" s="6">
        <f t="shared" si="2"/>
        <v>0.72420677049358551</v>
      </c>
      <c r="F43" s="6" t="e">
        <f t="shared" si="2"/>
        <v>#VALUE!</v>
      </c>
      <c r="G43" s="6" t="e">
        <f t="shared" si="2"/>
        <v>#VALUE!</v>
      </c>
      <c r="H43" s="6">
        <f t="shared" si="2"/>
        <v>0.20349680365296804</v>
      </c>
      <c r="I43" s="6" t="e">
        <f t="shared" si="2"/>
        <v>#DIV/0!</v>
      </c>
      <c r="J43" s="6"/>
      <c r="K43" s="6"/>
      <c r="L43" s="6"/>
      <c r="M43" s="1"/>
    </row>
    <row r="44" spans="1:13">
      <c r="A44" s="1"/>
      <c r="B44" s="2" t="s">
        <v>11</v>
      </c>
      <c r="C44" t="e">
        <f t="shared" si="2"/>
        <v>#DIV/0!</v>
      </c>
      <c r="D44" t="e">
        <f t="shared" si="2"/>
        <v>#VALUE!</v>
      </c>
      <c r="E44" s="6">
        <f t="shared" si="2"/>
        <v>0.62059814405656211</v>
      </c>
      <c r="F44" s="6" t="e">
        <f t="shared" si="2"/>
        <v>#VALUE!</v>
      </c>
      <c r="G44" s="6" t="e">
        <f t="shared" si="2"/>
        <v>#VALUE!</v>
      </c>
      <c r="H44" s="6">
        <f t="shared" si="2"/>
        <v>0.20161541095890412</v>
      </c>
      <c r="I44" s="6" t="e">
        <f t="shared" si="2"/>
        <v>#DIV/0!</v>
      </c>
      <c r="J44" s="6"/>
      <c r="K44" s="6"/>
      <c r="L44" s="6"/>
      <c r="M44" s="1"/>
    </row>
    <row r="45" spans="1:13">
      <c r="A45" s="1"/>
      <c r="B45" s="2" t="s">
        <v>12</v>
      </c>
      <c r="C45" t="e">
        <f t="shared" si="2"/>
        <v>#VALUE!</v>
      </c>
      <c r="D45" t="e">
        <f t="shared" si="2"/>
        <v>#VALUE!</v>
      </c>
      <c r="E45" s="6">
        <f t="shared" si="2"/>
        <v>0.59347866830232399</v>
      </c>
      <c r="F45" s="6" t="e">
        <f t="shared" si="2"/>
        <v>#DIV/0!</v>
      </c>
      <c r="G45" s="6">
        <f t="shared" si="2"/>
        <v>1.0000000000000002</v>
      </c>
      <c r="H45" s="6" t="e">
        <f t="shared" si="2"/>
        <v>#DIV/0!</v>
      </c>
      <c r="I45" s="6" t="e">
        <f t="shared" si="2"/>
        <v>#DIV/0!</v>
      </c>
      <c r="J45" s="6"/>
      <c r="K45" s="6"/>
      <c r="L45" s="6"/>
      <c r="M45" s="1"/>
    </row>
    <row r="46" spans="1:13">
      <c r="A46" s="1"/>
      <c r="B46" s="2" t="s">
        <v>13</v>
      </c>
      <c r="C46" s="6">
        <f t="shared" si="2"/>
        <v>1</v>
      </c>
      <c r="D46" t="e">
        <f t="shared" si="2"/>
        <v>#DIV/0!</v>
      </c>
      <c r="E46" s="6">
        <f t="shared" si="2"/>
        <v>0.66213798423230141</v>
      </c>
      <c r="F46" s="6">
        <f t="shared" si="2"/>
        <v>1</v>
      </c>
      <c r="G46" s="6">
        <f t="shared" si="2"/>
        <v>1</v>
      </c>
      <c r="H46" s="6">
        <f t="shared" si="2"/>
        <v>0.20308333333333334</v>
      </c>
      <c r="I46" s="6">
        <f t="shared" si="2"/>
        <v>0.52205273869294821</v>
      </c>
      <c r="J46" s="6"/>
      <c r="K46" s="6"/>
      <c r="L46" s="6"/>
      <c r="M46" s="1"/>
    </row>
    <row r="47" spans="1:13">
      <c r="A47" s="1"/>
      <c r="B47" s="2" t="s">
        <v>14</v>
      </c>
      <c r="C47" s="6" t="e">
        <f t="shared" si="2"/>
        <v>#VALUE!</v>
      </c>
      <c r="D47" t="e">
        <f t="shared" si="2"/>
        <v>#VALUE!</v>
      </c>
      <c r="E47" s="6">
        <f t="shared" si="2"/>
        <v>0.73018560167200519</v>
      </c>
      <c r="F47" s="6" t="e">
        <f t="shared" si="2"/>
        <v>#DIV/0!</v>
      </c>
      <c r="G47" s="6" t="e">
        <f t="shared" si="2"/>
        <v>#DIV/0!</v>
      </c>
      <c r="H47" s="6">
        <f t="shared" si="2"/>
        <v>0.19641495433789957</v>
      </c>
      <c r="I47" s="6" t="e">
        <f t="shared" si="2"/>
        <v>#DIV/0!</v>
      </c>
      <c r="J47" s="6"/>
      <c r="K47" s="6"/>
      <c r="L47" s="6"/>
      <c r="M47" s="1"/>
    </row>
    <row r="48" spans="1:13">
      <c r="A48" s="1"/>
      <c r="B48" s="2" t="s">
        <v>15</v>
      </c>
      <c r="C48" s="6" t="e">
        <f t="shared" si="2"/>
        <v>#VALUE!</v>
      </c>
      <c r="D48" t="e">
        <f t="shared" si="2"/>
        <v>#VALUE!</v>
      </c>
      <c r="E48" s="6">
        <f t="shared" si="2"/>
        <v>0.71819768561956587</v>
      </c>
      <c r="F48" s="6" t="e">
        <f t="shared" si="2"/>
        <v>#DIV/0!</v>
      </c>
      <c r="G48" s="6" t="e">
        <f t="shared" si="2"/>
        <v>#VALUE!</v>
      </c>
      <c r="H48" s="6">
        <f t="shared" si="2"/>
        <v>0.2021453196347032</v>
      </c>
      <c r="I48" s="6" t="e">
        <f t="shared" si="2"/>
        <v>#DIV/0!</v>
      </c>
      <c r="J48" s="6"/>
      <c r="K48" s="6"/>
      <c r="L48" s="6"/>
      <c r="M48" s="1"/>
    </row>
    <row r="49" spans="1:13">
      <c r="A49" s="1"/>
      <c r="B49" s="2" t="s">
        <v>16</v>
      </c>
      <c r="C49" s="6" t="e">
        <f t="shared" si="2"/>
        <v>#VALUE!</v>
      </c>
      <c r="D49" t="e">
        <f t="shared" si="2"/>
        <v>#VALUE!</v>
      </c>
      <c r="E49" s="6">
        <f t="shared" si="2"/>
        <v>0.65672882285262291</v>
      </c>
      <c r="F49" s="6" t="e">
        <f t="shared" si="2"/>
        <v>#DIV/0!</v>
      </c>
      <c r="G49" s="6" t="e">
        <f t="shared" si="2"/>
        <v>#VALUE!</v>
      </c>
      <c r="H49" s="6">
        <f t="shared" si="2"/>
        <v>0.20297271689497717</v>
      </c>
      <c r="I49" s="6" t="e">
        <f t="shared" si="2"/>
        <v>#DIV/0!</v>
      </c>
      <c r="J49" s="6"/>
      <c r="K49" s="6"/>
      <c r="L49" s="6"/>
      <c r="M49" s="1"/>
    </row>
    <row r="50" spans="1:13">
      <c r="A50" s="1"/>
      <c r="B50" s="2" t="s">
        <v>17</v>
      </c>
      <c r="C50" s="6">
        <f t="shared" si="2"/>
        <v>1</v>
      </c>
      <c r="D50" t="e">
        <f t="shared" si="2"/>
        <v>#VALUE!</v>
      </c>
      <c r="E50" s="6">
        <f t="shared" si="2"/>
        <v>0.61508457548173279</v>
      </c>
      <c r="F50" s="6" t="e">
        <f t="shared" si="2"/>
        <v>#DIV/0!</v>
      </c>
      <c r="G50" s="6" t="e">
        <f t="shared" si="2"/>
        <v>#VALUE!</v>
      </c>
      <c r="H50" s="6">
        <f t="shared" si="2"/>
        <v>0.20319258005750923</v>
      </c>
      <c r="I50" s="6">
        <f t="shared" si="2"/>
        <v>0.56547351598173523</v>
      </c>
      <c r="J50" s="6"/>
      <c r="K50" s="6"/>
      <c r="L50" s="6"/>
      <c r="M50" s="1"/>
    </row>
    <row r="51" spans="1:13">
      <c r="A51" s="1"/>
      <c r="B51" s="2" t="s">
        <v>18</v>
      </c>
      <c r="C51" t="e">
        <f t="shared" si="2"/>
        <v>#VALUE!</v>
      </c>
      <c r="D51" t="e">
        <f t="shared" si="2"/>
        <v>#VALUE!</v>
      </c>
      <c r="E51" s="6">
        <f t="shared" si="2"/>
        <v>0.72760299983824539</v>
      </c>
      <c r="F51" s="6" t="e">
        <f t="shared" si="2"/>
        <v>#DIV/0!</v>
      </c>
      <c r="G51" s="6" t="e">
        <f t="shared" si="2"/>
        <v>#VALUE!</v>
      </c>
      <c r="H51" s="6">
        <f t="shared" si="2"/>
        <v>0.20224063926940639</v>
      </c>
      <c r="I51" s="6">
        <f t="shared" si="2"/>
        <v>0.49504529887920296</v>
      </c>
      <c r="J51" s="6"/>
      <c r="K51" s="6"/>
      <c r="L51" s="6"/>
      <c r="M51" s="1"/>
    </row>
    <row r="52" spans="1:13">
      <c r="A52" s="1"/>
      <c r="B52" s="2" t="s">
        <v>19</v>
      </c>
      <c r="C52" t="e">
        <f t="shared" si="2"/>
        <v>#VALUE!</v>
      </c>
      <c r="D52" t="e">
        <f t="shared" si="2"/>
        <v>#VALUE!</v>
      </c>
      <c r="E52" s="6">
        <f t="shared" si="2"/>
        <v>0.66379756645959931</v>
      </c>
      <c r="F52" s="6" t="e">
        <f t="shared" si="2"/>
        <v>#DIV/0!</v>
      </c>
      <c r="G52" s="6">
        <f t="shared" si="2"/>
        <v>1</v>
      </c>
      <c r="H52" s="6">
        <f t="shared" si="2"/>
        <v>0.20106760527650938</v>
      </c>
      <c r="I52" s="6" t="e">
        <f t="shared" si="2"/>
        <v>#DIV/0!</v>
      </c>
      <c r="J52" s="6"/>
      <c r="K52" s="6"/>
      <c r="L52" s="6"/>
      <c r="M52" s="1"/>
    </row>
    <row r="53" spans="1:13">
      <c r="A53" s="1"/>
      <c r="M53" s="1"/>
    </row>
    <row r="54" spans="1:13">
      <c r="A54" s="1"/>
      <c r="D54" t="s">
        <v>37</v>
      </c>
      <c r="E54">
        <f>SUM(C32:I41)</f>
        <v>6799.8106099999977</v>
      </c>
      <c r="F54" s="4" t="s">
        <v>38</v>
      </c>
      <c r="M54" s="1"/>
    </row>
    <row r="55" spans="1:13">
      <c r="A55" s="1"/>
      <c r="D55" t="s">
        <v>39</v>
      </c>
      <c r="E55">
        <f>SUM(E32:E41)</f>
        <v>5410.9577409999993</v>
      </c>
      <c r="F55" s="4" t="s">
        <v>38</v>
      </c>
      <c r="M55" s="1"/>
    </row>
    <row r="56" spans="1:13">
      <c r="A56" s="1"/>
      <c r="D56" t="s">
        <v>40</v>
      </c>
      <c r="E56">
        <f>E55/E54</f>
        <v>0.79575124240114692</v>
      </c>
      <c r="M56" s="1"/>
    </row>
    <row r="57" spans="1:13">
      <c r="A57" s="1"/>
      <c r="D57" t="s">
        <v>41</v>
      </c>
      <c r="E57">
        <v>0.66</v>
      </c>
      <c r="F57" t="s">
        <v>42</v>
      </c>
      <c r="M57" s="1"/>
    </row>
    <row r="58" spans="1:13">
      <c r="A58" s="1"/>
      <c r="D58" t="s">
        <v>43</v>
      </c>
      <c r="E58" s="7">
        <f>E55*E57</f>
        <v>3571.2321090599999</v>
      </c>
      <c r="F58" t="s">
        <v>44</v>
      </c>
      <c r="M58" s="1"/>
    </row>
    <row r="59" spans="1:13">
      <c r="A59" s="1"/>
      <c r="D59" t="s">
        <v>45</v>
      </c>
      <c r="E59" s="5">
        <f>E58/E54</f>
        <v>0.52519581998475706</v>
      </c>
      <c r="F59" t="s">
        <v>46</v>
      </c>
      <c r="M59" s="1"/>
    </row>
    <row r="60" spans="1:13">
      <c r="A60" s="1"/>
      <c r="M60" s="1"/>
    </row>
    <row r="61" spans="1:13">
      <c r="A61" s="1"/>
      <c r="M61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F6CC-0B93-426A-976B-F1CA602C9FF3}">
  <sheetPr>
    <tabColor theme="5" tint="-0.249977111117893"/>
  </sheetPr>
  <dimension ref="A1:CG62"/>
  <sheetViews>
    <sheetView zoomScale="80" zoomScaleNormal="80" workbookViewId="0">
      <selection activeCell="G3" sqref="G3"/>
    </sheetView>
  </sheetViews>
  <sheetFormatPr defaultRowHeight="14.75"/>
  <cols>
    <col min="2" max="2" width="11.31640625" customWidth="1"/>
    <col min="3" max="14" width="9.453125" customWidth="1"/>
    <col min="16" max="16" width="12" customWidth="1"/>
    <col min="20" max="20" width="11.26953125" customWidth="1"/>
    <col min="30" max="30" width="11.04296875" customWidth="1"/>
    <col min="44" max="44" width="10.86328125" customWidth="1"/>
    <col min="72" max="72" width="10.6796875" customWidth="1"/>
    <col min="86" max="86" width="11" customWidth="1"/>
  </cols>
  <sheetData>
    <row r="1" spans="1:85">
      <c r="A1" s="1"/>
      <c r="B1" s="1" t="s">
        <v>194</v>
      </c>
      <c r="C1" s="1"/>
      <c r="D1" s="1"/>
      <c r="E1" s="1"/>
      <c r="F1" s="1"/>
      <c r="G1" s="1" t="s">
        <v>187</v>
      </c>
      <c r="H1" s="1"/>
      <c r="I1" s="1"/>
      <c r="J1" s="1"/>
      <c r="K1" s="1"/>
      <c r="L1" s="1"/>
      <c r="M1" s="1"/>
      <c r="N1" s="1"/>
      <c r="O1" s="1"/>
      <c r="P1" s="1" t="s">
        <v>195</v>
      </c>
      <c r="Q1" s="1"/>
      <c r="R1" s="1"/>
      <c r="S1" s="1"/>
      <c r="T1" s="1"/>
      <c r="U1" s="1"/>
      <c r="V1" s="1" t="s">
        <v>189</v>
      </c>
      <c r="W1" s="54" t="s">
        <v>191</v>
      </c>
      <c r="X1" s="1"/>
      <c r="Y1" s="1"/>
      <c r="Z1" s="1"/>
      <c r="AA1" s="1"/>
      <c r="AB1" s="1"/>
      <c r="AC1" s="1"/>
      <c r="AD1" s="1" t="s">
        <v>139</v>
      </c>
      <c r="AE1" s="1"/>
      <c r="AF1" s="1"/>
      <c r="AG1" s="1"/>
      <c r="AH1" s="1"/>
      <c r="AI1" s="1" t="s">
        <v>188</v>
      </c>
      <c r="AJ1" s="1"/>
      <c r="AK1" s="1"/>
      <c r="AL1" s="1"/>
      <c r="AM1" s="1"/>
      <c r="AN1" s="1"/>
      <c r="AO1" s="1"/>
      <c r="AP1" s="1"/>
      <c r="AQ1" s="1"/>
      <c r="AR1" s="1" t="s">
        <v>214</v>
      </c>
      <c r="AS1" s="1"/>
      <c r="AT1" s="1"/>
      <c r="AU1" s="1"/>
      <c r="AV1" s="1"/>
      <c r="AW1" s="1"/>
      <c r="AX1" s="1"/>
      <c r="AY1" s="1" t="s">
        <v>193</v>
      </c>
      <c r="AZ1" s="1"/>
      <c r="BA1" s="1"/>
      <c r="BB1" s="1"/>
      <c r="BC1" s="1"/>
      <c r="BD1" s="1"/>
      <c r="BE1" s="1"/>
      <c r="CG1" s="1"/>
    </row>
    <row r="2" spans="1:85">
      <c r="A2" s="1"/>
      <c r="B2" s="13">
        <v>45904</v>
      </c>
      <c r="C2" t="s">
        <v>138</v>
      </c>
      <c r="J2" s="54" t="s">
        <v>185</v>
      </c>
      <c r="K2" s="54"/>
      <c r="L2" s="54"/>
      <c r="O2" s="1"/>
      <c r="P2" s="13" t="s">
        <v>202</v>
      </c>
      <c r="X2" s="54" t="s">
        <v>185</v>
      </c>
      <c r="Y2" s="54"/>
      <c r="Z2" s="54"/>
      <c r="AC2" s="1"/>
      <c r="AD2" s="13" t="s">
        <v>202</v>
      </c>
      <c r="AE2" t="s">
        <v>213</v>
      </c>
      <c r="AL2" s="54" t="s">
        <v>185</v>
      </c>
      <c r="AM2" s="54"/>
      <c r="AN2" s="54"/>
      <c r="AQ2" s="1"/>
      <c r="AR2" s="13">
        <v>45904</v>
      </c>
      <c r="AS2" t="s">
        <v>213</v>
      </c>
      <c r="AZ2" s="54" t="s">
        <v>185</v>
      </c>
      <c r="BA2" s="54"/>
      <c r="BB2" s="54"/>
      <c r="BE2" s="1"/>
      <c r="CG2" s="1"/>
    </row>
    <row r="3" spans="1:85">
      <c r="A3" s="1"/>
      <c r="C3" s="54" t="s">
        <v>191</v>
      </c>
      <c r="D3" s="54"/>
      <c r="E3" s="54"/>
      <c r="F3" t="s">
        <v>82</v>
      </c>
      <c r="G3">
        <v>118.9</v>
      </c>
      <c r="H3" s="20">
        <f>(G3-'0. Current system'!$G3)/'0. Current system'!$G3</f>
        <v>-0.3502732240437158</v>
      </c>
      <c r="I3" s="4"/>
      <c r="J3" s="54" t="s">
        <v>186</v>
      </c>
      <c r="K3" s="54"/>
      <c r="L3" s="54"/>
      <c r="O3" s="1"/>
      <c r="Q3" s="54" t="s">
        <v>191</v>
      </c>
      <c r="R3" s="54"/>
      <c r="S3" s="54"/>
      <c r="T3" t="s">
        <v>82</v>
      </c>
      <c r="U3">
        <v>122</v>
      </c>
      <c r="V3" s="20">
        <f>(U3-'0. Current system'!$G3)/'0. Current system'!$G3</f>
        <v>-0.33333333333333331</v>
      </c>
      <c r="W3" s="20">
        <f>(U3-$G3)/$G3</f>
        <v>2.607232968881408E-2</v>
      </c>
      <c r="X3" s="54" t="s">
        <v>186</v>
      </c>
      <c r="Y3" s="54"/>
      <c r="Z3" s="54"/>
      <c r="AC3" s="1"/>
      <c r="AE3" s="54" t="s">
        <v>191</v>
      </c>
      <c r="AF3" s="54"/>
      <c r="AG3" s="54"/>
      <c r="AH3" t="s">
        <v>82</v>
      </c>
      <c r="AI3">
        <v>135.9</v>
      </c>
      <c r="AJ3" s="20">
        <f>(AI3-'0. Current system'!$G3)/'0. Current system'!$G3</f>
        <v>-0.25737704918032783</v>
      </c>
      <c r="AK3" s="20">
        <f>(AI3-$G3)/$G3</f>
        <v>0.14297729184188393</v>
      </c>
      <c r="AL3" s="54" t="s">
        <v>186</v>
      </c>
      <c r="AM3" s="54"/>
      <c r="AN3" s="54"/>
      <c r="AQ3" s="1"/>
      <c r="AS3" s="54" t="s">
        <v>191</v>
      </c>
      <c r="AT3" s="54"/>
      <c r="AU3" s="54"/>
      <c r="AV3" t="s">
        <v>82</v>
      </c>
      <c r="AW3">
        <v>130</v>
      </c>
      <c r="AX3" s="14" t="s">
        <v>36</v>
      </c>
      <c r="AY3" s="20">
        <f>(AW3-$G3)/$G3</f>
        <v>9.3355761143818286E-2</v>
      </c>
      <c r="AZ3" s="54" t="s">
        <v>186</v>
      </c>
      <c r="BA3" s="54"/>
      <c r="BB3" s="54"/>
      <c r="BE3" s="1"/>
      <c r="CG3" s="1"/>
    </row>
    <row r="4" spans="1:85">
      <c r="A4" s="1"/>
      <c r="B4">
        <v>1.1000000000000001</v>
      </c>
      <c r="C4" s="56" t="s">
        <v>190</v>
      </c>
      <c r="D4" s="56"/>
      <c r="E4" s="56"/>
      <c r="F4" s="4" t="s">
        <v>8</v>
      </c>
      <c r="G4" s="14" t="s">
        <v>36</v>
      </c>
      <c r="H4" t="s">
        <v>104</v>
      </c>
      <c r="O4" s="1"/>
      <c r="P4">
        <v>1.2</v>
      </c>
      <c r="T4" s="4" t="s">
        <v>8</v>
      </c>
      <c r="U4" s="14" t="s">
        <v>36</v>
      </c>
      <c r="V4" t="s">
        <v>104</v>
      </c>
      <c r="W4" t="s">
        <v>192</v>
      </c>
      <c r="AC4" s="1"/>
      <c r="AD4">
        <v>1.3</v>
      </c>
      <c r="AH4" s="4" t="s">
        <v>8</v>
      </c>
      <c r="AI4" s="14" t="s">
        <v>36</v>
      </c>
      <c r="AJ4" t="s">
        <v>104</v>
      </c>
      <c r="AK4" t="s">
        <v>192</v>
      </c>
      <c r="AQ4" s="1"/>
      <c r="AR4">
        <v>1.4</v>
      </c>
      <c r="AV4" s="4" t="s">
        <v>8</v>
      </c>
      <c r="AX4" t="s">
        <v>104</v>
      </c>
      <c r="AY4" t="s">
        <v>192</v>
      </c>
      <c r="BE4" s="1"/>
      <c r="CG4" s="1"/>
    </row>
    <row r="5" spans="1:85">
      <c r="A5" s="1"/>
      <c r="F5" s="4" t="s">
        <v>9</v>
      </c>
      <c r="G5" s="7">
        <v>137.31784500000001</v>
      </c>
      <c r="H5" s="20">
        <f>(G5-'0. Current system'!$G5)/'0. Current system'!$G5</f>
        <v>-0.32061137386543792</v>
      </c>
      <c r="L5">
        <f>G5*L32</f>
        <v>60010.100843233806</v>
      </c>
      <c r="O5" s="1"/>
      <c r="Q5" s="54" t="s">
        <v>148</v>
      </c>
      <c r="R5" s="54"/>
      <c r="S5" s="54"/>
      <c r="T5" s="4" t="s">
        <v>9</v>
      </c>
      <c r="U5" s="7">
        <v>137.31784500000001</v>
      </c>
      <c r="V5" s="20">
        <f>(U5-'0. Current system'!$G5)/'0. Current system'!$G5</f>
        <v>-0.32061137386543792</v>
      </c>
      <c r="W5" s="20">
        <f>(U5-$G5)/$G5</f>
        <v>0</v>
      </c>
      <c r="Z5">
        <f>U5*Z32</f>
        <v>60010.100843233806</v>
      </c>
      <c r="AC5" s="1"/>
      <c r="AE5" s="54" t="s">
        <v>139</v>
      </c>
      <c r="AF5" s="54"/>
      <c r="AG5" s="54"/>
      <c r="AH5" s="4" t="s">
        <v>9</v>
      </c>
      <c r="AI5" s="7">
        <v>171.26235500000001</v>
      </c>
      <c r="AJ5" s="20">
        <f>(AI5-'0. Current system'!$G5)/'0. Current system'!$G5</f>
        <v>-0.15266878771641335</v>
      </c>
      <c r="AK5" s="20">
        <f>(AI5-$G5)/$G5</f>
        <v>0.2471966407570699</v>
      </c>
      <c r="AN5">
        <f>AI5*AN32</f>
        <v>74844.396183174205</v>
      </c>
      <c r="AQ5" s="1"/>
      <c r="AS5" s="54" t="s">
        <v>196</v>
      </c>
      <c r="AT5" s="54"/>
      <c r="AU5" s="54"/>
      <c r="AV5" s="4" t="s">
        <v>9</v>
      </c>
      <c r="AW5" s="7">
        <v>154.267968</v>
      </c>
      <c r="AX5" s="20">
        <f>(AW5-'0. Current system'!$G5)/'0. Current system'!$G5</f>
        <v>-0.23674958024508339</v>
      </c>
      <c r="AY5" s="20">
        <f>(AW5-$G5)/$G5</f>
        <v>0.12343714686172064</v>
      </c>
      <c r="BB5">
        <f>AW5*BB32</f>
        <v>67417.576474206711</v>
      </c>
      <c r="BE5" s="1"/>
      <c r="CG5" s="1"/>
    </row>
    <row r="6" spans="1:85">
      <c r="A6" s="1"/>
      <c r="F6" s="4" t="s">
        <v>11</v>
      </c>
      <c r="G6" s="7">
        <v>123.74758799999999</v>
      </c>
      <c r="H6" s="20">
        <f>(G6-'0. Current system'!$G6)/'0. Current system'!$G6</f>
        <v>-0.32944665997780065</v>
      </c>
      <c r="L6">
        <f t="shared" ref="L6:L14" si="0">G6*L33</f>
        <v>148734.96083889483</v>
      </c>
      <c r="O6" s="1"/>
      <c r="T6" s="4" t="s">
        <v>11</v>
      </c>
      <c r="U6" s="7">
        <v>141.49194800000001</v>
      </c>
      <c r="V6" s="20">
        <f>(U6-'0. Current system'!$G6)/'0. Current system'!$G6</f>
        <v>-0.23329496880660525</v>
      </c>
      <c r="W6" s="20">
        <f t="shared" ref="W6:W14" si="1">(U6-$G6)/$G6</f>
        <v>0.14339156250867707</v>
      </c>
      <c r="Z6">
        <f t="shared" ref="Z6:Z14" si="2">U6*Z33</f>
        <v>170062.2992732508</v>
      </c>
      <c r="AC6" s="1"/>
      <c r="AH6" s="4" t="s">
        <v>11</v>
      </c>
      <c r="AI6" s="7">
        <v>149.29862700000001</v>
      </c>
      <c r="AJ6" s="20">
        <f>(AI6-'0. Current system'!$G6)/'0. Current system'!$G6</f>
        <v>-0.19099277316355831</v>
      </c>
      <c r="AK6" s="20">
        <f t="shared" ref="AK6:AK14" si="3">(AI6-$G6)/$G6</f>
        <v>0.20647706684998191</v>
      </c>
      <c r="AN6">
        <f t="shared" ref="AN6:AN14" si="4">AI6*AN33</f>
        <v>179445.31929095672</v>
      </c>
      <c r="AQ6" s="1"/>
      <c r="AV6" s="4" t="s">
        <v>11</v>
      </c>
      <c r="AW6" s="7">
        <v>164.25792000000001</v>
      </c>
      <c r="AX6" s="20">
        <f>(AW6-'0. Current system'!$G6)/'0. Current system'!$G6</f>
        <v>-0.10993257596989092</v>
      </c>
      <c r="AY6" s="20">
        <f t="shared" ref="AY6:AY14" si="5">(AW6-$G6)/$G6</f>
        <v>0.32736259877647089</v>
      </c>
      <c r="BB6">
        <f t="shared" ref="BB6:BB14" si="6">AW6*BB33</f>
        <v>197425.22414803202</v>
      </c>
      <c r="BE6" s="1"/>
      <c r="CG6" s="1"/>
    </row>
    <row r="7" spans="1:85">
      <c r="A7" s="1"/>
      <c r="F7" s="4" t="s">
        <v>12</v>
      </c>
      <c r="G7" s="7">
        <v>111.57970299999999</v>
      </c>
      <c r="H7" s="20">
        <f>(G7-'0. Current system'!$G7)/'0. Current system'!$G7</f>
        <v>-0.13415369708276381</v>
      </c>
      <c r="L7">
        <f t="shared" si="0"/>
        <v>14224.280960172699</v>
      </c>
      <c r="O7" s="1"/>
      <c r="T7" s="4" t="s">
        <v>12</v>
      </c>
      <c r="U7" s="7">
        <v>111.57970299999999</v>
      </c>
      <c r="V7" s="20">
        <f>(U7-'0. Current system'!$G7)/'0. Current system'!$G7</f>
        <v>-0.13415369708276381</v>
      </c>
      <c r="W7" s="20">
        <f t="shared" si="1"/>
        <v>0</v>
      </c>
      <c r="Z7">
        <f t="shared" si="2"/>
        <v>14224.280960172699</v>
      </c>
      <c r="AC7" s="1"/>
      <c r="AH7" s="4" t="s">
        <v>12</v>
      </c>
      <c r="AI7" s="7">
        <v>111.57970299999999</v>
      </c>
      <c r="AJ7" s="20">
        <f>(AI7-'0. Current system'!$G7)/'0. Current system'!$G7</f>
        <v>-0.13415369708276381</v>
      </c>
      <c r="AK7" s="20">
        <f t="shared" si="3"/>
        <v>0</v>
      </c>
      <c r="AN7">
        <f t="shared" si="4"/>
        <v>14224.280960172699</v>
      </c>
      <c r="AQ7" s="1"/>
      <c r="AV7" s="4" t="s">
        <v>12</v>
      </c>
      <c r="AW7" s="7">
        <v>111.57970299999999</v>
      </c>
      <c r="AX7" s="20">
        <f>(AW7-'0. Current system'!$G7)/'0. Current system'!$G7</f>
        <v>-0.13415369708276381</v>
      </c>
      <c r="AY7" s="20">
        <f t="shared" si="5"/>
        <v>0</v>
      </c>
      <c r="BB7">
        <f t="shared" si="6"/>
        <v>14224.280960172699</v>
      </c>
      <c r="BE7" s="1"/>
      <c r="CG7" s="1"/>
    </row>
    <row r="8" spans="1:85">
      <c r="A8" s="1"/>
      <c r="F8" s="4" t="s">
        <v>13</v>
      </c>
      <c r="G8" s="7">
        <v>116.772749</v>
      </c>
      <c r="H8" s="20">
        <f>(G8-'0. Current system'!$G8)/'0. Current system'!$G8</f>
        <v>-0.32000650244124257</v>
      </c>
      <c r="L8">
        <f t="shared" si="0"/>
        <v>233915.69096887982</v>
      </c>
      <c r="O8" s="1"/>
      <c r="T8" s="4" t="s">
        <v>13</v>
      </c>
      <c r="U8" s="7">
        <v>116.772749</v>
      </c>
      <c r="V8" s="20">
        <f>(U8-'0. Current system'!$G8)/'0. Current system'!$G8</f>
        <v>-0.32000650244124257</v>
      </c>
      <c r="W8" s="20">
        <f t="shared" si="1"/>
        <v>0</v>
      </c>
      <c r="Z8">
        <f t="shared" si="2"/>
        <v>233915.69108565254</v>
      </c>
      <c r="AC8" s="1"/>
      <c r="AH8" s="4" t="s">
        <v>13</v>
      </c>
      <c r="AI8" s="7">
        <v>135.72326200000001</v>
      </c>
      <c r="AJ8" s="20">
        <f>(AI8-'0. Current system'!$G8)/'0. Current system'!$G8</f>
        <v>-0.20965348150308943</v>
      </c>
      <c r="AK8" s="20">
        <f t="shared" si="3"/>
        <v>0.16228540616098711</v>
      </c>
      <c r="AN8">
        <f t="shared" si="4"/>
        <v>271876.79388519243</v>
      </c>
      <c r="AQ8" s="1"/>
      <c r="AV8" s="4" t="s">
        <v>13</v>
      </c>
      <c r="AW8" s="7">
        <v>118.117688</v>
      </c>
      <c r="AX8" s="20">
        <f>(AW8-'0. Current system'!$G8)/'0. Current system'!$G8</f>
        <v>-0.31217462571961829</v>
      </c>
      <c r="AY8" s="20">
        <f t="shared" si="5"/>
        <v>1.1517575902918895E-2</v>
      </c>
      <c r="BB8">
        <f t="shared" si="6"/>
        <v>236609.83269449757</v>
      </c>
      <c r="BE8" s="1"/>
      <c r="CG8" s="1"/>
    </row>
    <row r="9" spans="1:85">
      <c r="A9" s="1"/>
      <c r="F9" s="4" t="s">
        <v>14</v>
      </c>
      <c r="G9" s="7">
        <v>119.17108</v>
      </c>
      <c r="H9" s="20">
        <f>(G9-'0. Current system'!$G9)/'0. Current system'!$G9</f>
        <v>-0.40905150243785487</v>
      </c>
      <c r="L9">
        <f t="shared" si="0"/>
        <v>31463.393619196002</v>
      </c>
      <c r="O9" s="1"/>
      <c r="T9" s="4" t="s">
        <v>14</v>
      </c>
      <c r="U9" s="7">
        <v>119.17108</v>
      </c>
      <c r="V9" s="20">
        <f>(U9-'0. Current system'!$G9)/'0. Current system'!$G9</f>
        <v>-0.40905150243785487</v>
      </c>
      <c r="W9" s="20">
        <f t="shared" si="1"/>
        <v>0</v>
      </c>
      <c r="Z9">
        <f t="shared" si="2"/>
        <v>31463.393619196002</v>
      </c>
      <c r="AC9" s="1"/>
      <c r="AH9" s="4" t="s">
        <v>14</v>
      </c>
      <c r="AI9" s="7">
        <v>129.777851</v>
      </c>
      <c r="AJ9" s="20">
        <f>(AI9-'0. Current system'!$G9)/'0. Current system'!$G9</f>
        <v>-0.35645438419040992</v>
      </c>
      <c r="AK9" s="20">
        <f t="shared" si="3"/>
        <v>8.9004572250247244E-2</v>
      </c>
      <c r="AN9">
        <f t="shared" si="4"/>
        <v>34263.779509813692</v>
      </c>
      <c r="AQ9" s="1"/>
      <c r="AV9" s="4" t="s">
        <v>14</v>
      </c>
      <c r="AW9" s="7">
        <v>119.17108</v>
      </c>
      <c r="AX9" s="20">
        <f>(AW9-'0. Current system'!$G9)/'0. Current system'!$G9</f>
        <v>-0.40905150243785487</v>
      </c>
      <c r="AY9" s="20">
        <f t="shared" si="5"/>
        <v>0</v>
      </c>
      <c r="BB9">
        <f t="shared" si="6"/>
        <v>31463.393738367078</v>
      </c>
      <c r="BE9" s="1"/>
      <c r="CG9" s="1"/>
    </row>
    <row r="10" spans="1:85">
      <c r="A10" s="1"/>
      <c r="F10" s="4" t="s">
        <v>15</v>
      </c>
      <c r="G10" s="7">
        <v>118.588928</v>
      </c>
      <c r="H10" s="20">
        <f>(G10-'0. Current system'!$G10)/'0. Current system'!$G10</f>
        <v>-0.41142626745280331</v>
      </c>
      <c r="L10">
        <f t="shared" si="0"/>
        <v>56144.670918963195</v>
      </c>
      <c r="O10" s="1"/>
      <c r="T10" s="4" t="s">
        <v>15</v>
      </c>
      <c r="U10" s="7">
        <v>118.588928</v>
      </c>
      <c r="V10" s="20">
        <f>(U10-'0. Current system'!$G10)/'0. Current system'!$G10</f>
        <v>-0.41142626745280331</v>
      </c>
      <c r="W10" s="20">
        <f t="shared" si="1"/>
        <v>0</v>
      </c>
      <c r="Z10">
        <f t="shared" si="2"/>
        <v>56144.671037552122</v>
      </c>
      <c r="AC10" s="1"/>
      <c r="AH10" s="4" t="s">
        <v>15</v>
      </c>
      <c r="AI10" s="7">
        <v>131.63981699999999</v>
      </c>
      <c r="AJ10" s="20">
        <f>(AI10-'0. Current system'!$G10)/'0. Current system'!$G10</f>
        <v>-0.34665284735924151</v>
      </c>
      <c r="AK10" s="20">
        <f t="shared" si="3"/>
        <v>0.11005149654443287</v>
      </c>
      <c r="AN10">
        <f t="shared" si="4"/>
        <v>62323.475976589791</v>
      </c>
      <c r="AQ10" s="1"/>
      <c r="AV10" s="4" t="s">
        <v>15</v>
      </c>
      <c r="AW10" s="7">
        <v>118.588928</v>
      </c>
      <c r="AX10" s="20">
        <f>(AW10-'0. Current system'!$G10)/'0. Current system'!$G10</f>
        <v>-0.41142626745280331</v>
      </c>
      <c r="AY10" s="20">
        <f t="shared" si="5"/>
        <v>0</v>
      </c>
      <c r="BB10">
        <f t="shared" si="6"/>
        <v>56144.670918963195</v>
      </c>
      <c r="BE10" s="1"/>
      <c r="CG10" s="1"/>
    </row>
    <row r="11" spans="1:85">
      <c r="A11" s="1"/>
      <c r="F11" s="4" t="s">
        <v>16</v>
      </c>
      <c r="G11" s="7">
        <v>129.22201000000001</v>
      </c>
      <c r="H11" s="20">
        <f>(G11-'0. Current system'!$G11)/'0. Current system'!$G11</f>
        <v>-0.32416752012594363</v>
      </c>
      <c r="L11">
        <f t="shared" si="0"/>
        <v>2118.0158101231905</v>
      </c>
      <c r="O11" s="1"/>
      <c r="T11" s="4" t="s">
        <v>16</v>
      </c>
      <c r="U11" s="7">
        <v>129.22201000000001</v>
      </c>
      <c r="V11" s="20">
        <f>(U11-'0. Current system'!$G11)/'0. Current system'!$G11</f>
        <v>-0.32416752012594363</v>
      </c>
      <c r="W11" s="20">
        <f t="shared" si="1"/>
        <v>0</v>
      </c>
      <c r="Z11">
        <f t="shared" si="2"/>
        <v>2118.0159393452</v>
      </c>
      <c r="AC11" s="1"/>
      <c r="AH11" s="4" t="s">
        <v>16</v>
      </c>
      <c r="AI11" s="7">
        <v>138.705927</v>
      </c>
      <c r="AJ11" s="20">
        <f>(AI11-'0. Current system'!$G11)/'0. Current system'!$G11</f>
        <v>-0.27456653384636392</v>
      </c>
      <c r="AK11" s="20">
        <f t="shared" si="3"/>
        <v>7.3392427497451784E-2</v>
      </c>
      <c r="AN11">
        <f t="shared" si="4"/>
        <v>2273.4624093179668</v>
      </c>
      <c r="AQ11" s="1"/>
      <c r="AV11" s="4" t="s">
        <v>16</v>
      </c>
      <c r="AW11" s="7">
        <v>129.22201000000001</v>
      </c>
      <c r="AX11" s="20">
        <f>(AW11-'0. Current system'!$G11)/'0. Current system'!$G11</f>
        <v>-0.32416752012594363</v>
      </c>
      <c r="AY11" s="20">
        <f t="shared" si="5"/>
        <v>0</v>
      </c>
      <c r="BB11">
        <f t="shared" si="6"/>
        <v>2118.0158101231905</v>
      </c>
      <c r="BE11" s="1"/>
      <c r="CG11" s="1"/>
    </row>
    <row r="12" spans="1:85">
      <c r="A12" s="1"/>
      <c r="F12" s="4" t="s">
        <v>17</v>
      </c>
      <c r="G12" s="7">
        <v>118.75250200000001</v>
      </c>
      <c r="H12" s="20">
        <f>(G12-'0. Current system'!$G12)/'0. Current system'!$G12</f>
        <v>-0.36052845741071671</v>
      </c>
      <c r="L12">
        <f t="shared" si="0"/>
        <v>216257.01081914912</v>
      </c>
      <c r="O12" s="1"/>
      <c r="T12" s="4" t="s">
        <v>17</v>
      </c>
      <c r="U12" s="7">
        <v>118.75250200000001</v>
      </c>
      <c r="V12" s="20">
        <f>(U12-'0. Current system'!$G12)/'0. Current system'!$G12</f>
        <v>-0.36052845741071671</v>
      </c>
      <c r="W12" s="20">
        <f t="shared" si="1"/>
        <v>0</v>
      </c>
      <c r="Z12">
        <f t="shared" si="2"/>
        <v>216257.01070039661</v>
      </c>
      <c r="AC12" s="1"/>
      <c r="AH12" s="4" t="s">
        <v>17</v>
      </c>
      <c r="AI12" s="7">
        <v>130.63452599999999</v>
      </c>
      <c r="AJ12" s="20">
        <f>(AI12-'0. Current system'!$G12)/'0. Current system'!$G12</f>
        <v>-0.29654482684802863</v>
      </c>
      <c r="AK12" s="20">
        <f t="shared" si="3"/>
        <v>0.10005704132448499</v>
      </c>
      <c r="AN12">
        <f t="shared" si="4"/>
        <v>237895.04748739031</v>
      </c>
      <c r="AQ12" s="1"/>
      <c r="AV12" s="4" t="s">
        <v>17</v>
      </c>
      <c r="AW12" s="7">
        <v>126.824483</v>
      </c>
      <c r="AX12" s="20">
        <f>(AW12-'0. Current system'!$G12)/'0. Current system'!$G12</f>
        <v>-0.31706156572517241</v>
      </c>
      <c r="AY12" s="20">
        <f t="shared" si="5"/>
        <v>6.7973144683722064E-2</v>
      </c>
      <c r="BB12">
        <f t="shared" si="6"/>
        <v>230956.67965077941</v>
      </c>
      <c r="BE12" s="1"/>
      <c r="CG12" s="1"/>
    </row>
    <row r="13" spans="1:85">
      <c r="A13" s="1"/>
      <c r="F13" s="4" t="s">
        <v>18</v>
      </c>
      <c r="G13" s="7">
        <v>122.18809899999999</v>
      </c>
      <c r="H13" s="20">
        <f>(G13-'0. Current system'!$G13)/'0. Current system'!$G13</f>
        <v>-0.38253015346625829</v>
      </c>
      <c r="L13">
        <f t="shared" si="0"/>
        <v>33379.692998714054</v>
      </c>
      <c r="O13" s="1"/>
      <c r="T13" s="4" t="s">
        <v>18</v>
      </c>
      <c r="U13" s="7">
        <v>122.18809899999999</v>
      </c>
      <c r="V13" s="20">
        <f>(U13-'0. Current system'!$G13)/'0. Current system'!$G13</f>
        <v>-0.38253015346625829</v>
      </c>
      <c r="W13" s="20">
        <f t="shared" si="1"/>
        <v>0</v>
      </c>
      <c r="Z13">
        <f t="shared" si="2"/>
        <v>33379.69312090215</v>
      </c>
      <c r="AC13" s="1"/>
      <c r="AH13" s="4" t="s">
        <v>18</v>
      </c>
      <c r="AI13" s="7">
        <v>127.137469</v>
      </c>
      <c r="AJ13" s="20">
        <f>(AI13-'0. Current system'!$G13)/'0. Current system'!$G13</f>
        <v>-0.35751882454511102</v>
      </c>
      <c r="AK13" s="20">
        <f t="shared" si="3"/>
        <v>4.050615436778341E-2</v>
      </c>
      <c r="AN13">
        <f t="shared" si="4"/>
        <v>34731.776250344119</v>
      </c>
      <c r="AQ13" s="1"/>
      <c r="AV13" s="4" t="s">
        <v>18</v>
      </c>
      <c r="AW13" s="7">
        <v>122.18809899999999</v>
      </c>
      <c r="AX13" s="20">
        <f>(AW13-'0. Current system'!$G13)/'0. Current system'!$G13</f>
        <v>-0.38253015346625829</v>
      </c>
      <c r="AY13" s="20">
        <f t="shared" si="5"/>
        <v>0</v>
      </c>
      <c r="BB13">
        <f t="shared" si="6"/>
        <v>33379.692998714054</v>
      </c>
      <c r="BE13" s="1"/>
      <c r="CG13" s="1"/>
    </row>
    <row r="14" spans="1:85">
      <c r="A14" s="1"/>
      <c r="F14" s="4" t="s">
        <v>19</v>
      </c>
      <c r="G14" s="7">
        <v>65.909487999999996</v>
      </c>
      <c r="H14" s="20">
        <f>(G14-'0. Current system'!$G14)/'0. Current system'!$G14</f>
        <v>-0.58074574874254403</v>
      </c>
      <c r="L14">
        <f t="shared" si="0"/>
        <v>12003.211862300799</v>
      </c>
      <c r="O14" s="1"/>
      <c r="T14" s="4" t="s">
        <v>19</v>
      </c>
      <c r="U14" s="7">
        <v>65.909487999999996</v>
      </c>
      <c r="V14" s="20">
        <f>(U14-'0. Current system'!$G14)/'0. Current system'!$G14</f>
        <v>-0.58074574874254403</v>
      </c>
      <c r="W14" s="20">
        <f t="shared" si="1"/>
        <v>0</v>
      </c>
      <c r="Z14">
        <f t="shared" si="2"/>
        <v>12003.211862300799</v>
      </c>
      <c r="AC14" s="1"/>
      <c r="AH14" s="4" t="s">
        <v>19</v>
      </c>
      <c r="AI14" s="7">
        <v>65.909487999999996</v>
      </c>
      <c r="AJ14" s="20">
        <f>(AI14-'0. Current system'!$G14)/'0. Current system'!$G14</f>
        <v>-0.58074574874254403</v>
      </c>
      <c r="AK14" s="20">
        <f t="shared" si="3"/>
        <v>0</v>
      </c>
      <c r="AN14">
        <f t="shared" si="4"/>
        <v>12003.211862300799</v>
      </c>
      <c r="AQ14" s="1"/>
      <c r="AV14" s="4" t="s">
        <v>19</v>
      </c>
      <c r="AW14" s="7">
        <v>65.909487999999996</v>
      </c>
      <c r="AX14" s="20">
        <f>(AW14-'0. Current system'!$G14)/'0. Current system'!$G14</f>
        <v>-0.58074574874254403</v>
      </c>
      <c r="AY14" s="20">
        <f t="shared" si="5"/>
        <v>0</v>
      </c>
      <c r="BB14">
        <f t="shared" si="6"/>
        <v>12003.211796391312</v>
      </c>
      <c r="BE14" s="1"/>
      <c r="CG14" s="1"/>
    </row>
    <row r="15" spans="1:85">
      <c r="A15" s="1"/>
      <c r="O15" s="1"/>
      <c r="AC15" s="1"/>
      <c r="AQ15" s="1"/>
      <c r="BE15" s="1"/>
      <c r="CG15" s="1"/>
    </row>
    <row r="16" spans="1:85">
      <c r="A16" s="1"/>
      <c r="B16" t="s">
        <v>20</v>
      </c>
      <c r="L16">
        <f>SUM(L5:L14)/SUM(L32:L41)</f>
        <v>118.86375608312585</v>
      </c>
      <c r="O16" s="1"/>
      <c r="P16" t="s">
        <v>20</v>
      </c>
      <c r="Z16">
        <f>SUM(Z5:Z14)/SUM(Z32:Z41)</f>
        <v>122.00021673809563</v>
      </c>
      <c r="AC16" s="1"/>
      <c r="AD16" t="s">
        <v>20</v>
      </c>
      <c r="AN16">
        <f>SUM(AN5:AN14)/SUM(AN32:AN41)</f>
        <v>135.86871699764097</v>
      </c>
      <c r="AQ16" s="1"/>
      <c r="AR16" t="s">
        <v>20</v>
      </c>
      <c r="BB16">
        <f>SUM(BB5:BB14)/SUM(BB32:BB41)</f>
        <v>129.67163795452566</v>
      </c>
      <c r="BE16" s="1"/>
      <c r="CG16" s="1"/>
    </row>
    <row r="17" spans="1:85" ht="44.25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 t="s">
        <v>157</v>
      </c>
      <c r="K17" s="10" t="s">
        <v>158</v>
      </c>
      <c r="L17" s="10"/>
      <c r="O17" s="1"/>
      <c r="P17" s="2" t="s">
        <v>0</v>
      </c>
      <c r="Q17" s="2" t="s">
        <v>1</v>
      </c>
      <c r="R17" s="2" t="s">
        <v>2</v>
      </c>
      <c r="S17" s="2" t="s">
        <v>3</v>
      </c>
      <c r="T17" s="2" t="s">
        <v>4</v>
      </c>
      <c r="U17" s="2" t="s">
        <v>5</v>
      </c>
      <c r="V17" s="2" t="s">
        <v>6</v>
      </c>
      <c r="W17" s="2" t="s">
        <v>7</v>
      </c>
      <c r="X17" s="10" t="s">
        <v>157</v>
      </c>
      <c r="Y17" s="10" t="s">
        <v>158</v>
      </c>
      <c r="Z17" s="10"/>
      <c r="AC17" s="1"/>
      <c r="AD17" s="2" t="s">
        <v>0</v>
      </c>
      <c r="AE17" s="2" t="s">
        <v>1</v>
      </c>
      <c r="AF17" s="2" t="s">
        <v>2</v>
      </c>
      <c r="AG17" s="2" t="s">
        <v>3</v>
      </c>
      <c r="AH17" s="2" t="s">
        <v>4</v>
      </c>
      <c r="AI17" s="2" t="s">
        <v>5</v>
      </c>
      <c r="AJ17" s="2" t="s">
        <v>6</v>
      </c>
      <c r="AK17" s="2" t="s">
        <v>7</v>
      </c>
      <c r="AL17" s="10" t="s">
        <v>157</v>
      </c>
      <c r="AM17" s="10" t="s">
        <v>158</v>
      </c>
      <c r="AN17" s="10"/>
      <c r="AQ17" s="1"/>
      <c r="AR17" s="2" t="s">
        <v>0</v>
      </c>
      <c r="AS17" s="2" t="s">
        <v>1</v>
      </c>
      <c r="AT17" s="2" t="s">
        <v>2</v>
      </c>
      <c r="AU17" s="2" t="s">
        <v>3</v>
      </c>
      <c r="AV17" s="2" t="s">
        <v>4</v>
      </c>
      <c r="AW17" s="2" t="s">
        <v>5</v>
      </c>
      <c r="AX17" s="2" t="s">
        <v>6</v>
      </c>
      <c r="AY17" s="2" t="s">
        <v>7</v>
      </c>
      <c r="AZ17" s="10" t="s">
        <v>157</v>
      </c>
      <c r="BA17" s="10" t="s">
        <v>158</v>
      </c>
      <c r="BB17" s="10"/>
      <c r="BE17" s="1"/>
      <c r="CG17" s="1"/>
    </row>
    <row r="18" spans="1:85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K18" s="10"/>
      <c r="L18" s="10"/>
      <c r="O18" s="1"/>
      <c r="P18" s="2" t="s">
        <v>8</v>
      </c>
      <c r="Q18" s="2"/>
      <c r="R18" s="2"/>
      <c r="S18" s="2"/>
      <c r="T18" s="2"/>
      <c r="U18" s="2"/>
      <c r="V18" s="2"/>
      <c r="W18" s="2"/>
      <c r="X18" s="10"/>
      <c r="Y18" s="10"/>
      <c r="Z18" s="10"/>
      <c r="AC18" s="1"/>
      <c r="AD18" s="2" t="s">
        <v>8</v>
      </c>
      <c r="AE18" s="2"/>
      <c r="AF18" s="2"/>
      <c r="AG18" s="2"/>
      <c r="AH18" s="2"/>
      <c r="AI18" s="2"/>
      <c r="AJ18" s="2"/>
      <c r="AK18" s="2"/>
      <c r="AL18" s="10"/>
      <c r="AM18" s="10"/>
      <c r="AN18" s="10"/>
      <c r="AQ18" s="1"/>
      <c r="AR18" s="2" t="s">
        <v>8</v>
      </c>
      <c r="AS18" s="2"/>
      <c r="AT18" s="2"/>
      <c r="AU18" s="2"/>
      <c r="AV18" s="2"/>
      <c r="AW18" s="2"/>
      <c r="AX18" s="2"/>
      <c r="AY18" s="2"/>
      <c r="AZ18" s="10"/>
      <c r="BA18" s="10"/>
      <c r="BB18" s="10"/>
      <c r="BE18" s="1"/>
      <c r="CG18" s="1"/>
    </row>
    <row r="19" spans="1:85">
      <c r="A19" s="1"/>
      <c r="B19" s="2" t="s">
        <v>9</v>
      </c>
      <c r="C19" s="3" t="s">
        <v>10</v>
      </c>
      <c r="D19" s="3" t="s">
        <v>10</v>
      </c>
      <c r="E19" s="19">
        <v>62.896124999999998</v>
      </c>
      <c r="F19" s="19" t="s">
        <v>10</v>
      </c>
      <c r="G19" s="19" t="s">
        <v>10</v>
      </c>
      <c r="H19" s="19">
        <v>17.814973999999999</v>
      </c>
      <c r="I19" s="19">
        <v>43.468814000000002</v>
      </c>
      <c r="J19" s="47">
        <f>H19/('Max capacities'!$E4)</f>
        <v>4.8148578378378375E-2</v>
      </c>
      <c r="K19" s="47">
        <f>I19/('Max capacities'!$F4)</f>
        <v>0.43468814</v>
      </c>
      <c r="L19" s="47"/>
      <c r="O19" s="1"/>
      <c r="P19" s="2" t="s">
        <v>9</v>
      </c>
      <c r="Q19" s="3" t="s">
        <v>10</v>
      </c>
      <c r="R19" s="3" t="s">
        <v>10</v>
      </c>
      <c r="S19" s="19">
        <v>62.896124999999998</v>
      </c>
      <c r="T19" s="19" t="s">
        <v>10</v>
      </c>
      <c r="U19" s="19" t="s">
        <v>10</v>
      </c>
      <c r="V19" s="19">
        <v>17.814973999999999</v>
      </c>
      <c r="W19" s="19">
        <v>43.468814000000002</v>
      </c>
      <c r="X19" s="47">
        <f>V19/('Max capacities'!$E4)</f>
        <v>4.8148578378378375E-2</v>
      </c>
      <c r="Y19" s="47">
        <f>W19/('Max capacities'!$F4)</f>
        <v>0.43468814</v>
      </c>
      <c r="Z19" s="47"/>
      <c r="AC19" s="1"/>
      <c r="AD19" s="2" t="s">
        <v>9</v>
      </c>
      <c r="AE19" s="3" t="s">
        <v>10</v>
      </c>
      <c r="AF19" s="3" t="s">
        <v>10</v>
      </c>
      <c r="AG19" s="19">
        <v>62.896124999999998</v>
      </c>
      <c r="AH19" s="19" t="s">
        <v>10</v>
      </c>
      <c r="AI19" s="19" t="s">
        <v>10</v>
      </c>
      <c r="AJ19" s="19">
        <v>17.814973999999999</v>
      </c>
      <c r="AK19" s="19">
        <v>43.468814000000002</v>
      </c>
      <c r="AL19" s="47">
        <f>AJ19/('Max capacities'!$E4)</f>
        <v>4.8148578378378375E-2</v>
      </c>
      <c r="AM19" s="47">
        <f>AK19/('Max capacities'!$F4)</f>
        <v>0.43468814</v>
      </c>
      <c r="AN19" s="47"/>
      <c r="AQ19" s="1"/>
      <c r="AR19" s="2" t="s">
        <v>9</v>
      </c>
      <c r="AS19" s="3" t="s">
        <v>10</v>
      </c>
      <c r="AT19" s="3" t="s">
        <v>10</v>
      </c>
      <c r="AU19" s="3">
        <v>62.97</v>
      </c>
      <c r="AV19" s="3" t="s">
        <v>10</v>
      </c>
      <c r="AW19" s="3" t="s">
        <v>10</v>
      </c>
      <c r="AX19" s="3">
        <v>44.530177999999999</v>
      </c>
      <c r="AY19" s="3">
        <v>25</v>
      </c>
      <c r="AZ19" s="47">
        <f>AX19/('Max capacities'!$E4)</f>
        <v>0.12035183243243243</v>
      </c>
      <c r="BA19" s="47">
        <f>AY19/('Max capacities'!$F4)</f>
        <v>0.25</v>
      </c>
      <c r="BB19" s="47"/>
      <c r="BE19" s="1"/>
      <c r="CG19" s="1"/>
    </row>
    <row r="20" spans="1:85">
      <c r="A20" s="1"/>
      <c r="B20" s="2" t="s">
        <v>11</v>
      </c>
      <c r="C20" s="3">
        <v>10</v>
      </c>
      <c r="D20" s="3" t="s">
        <v>10</v>
      </c>
      <c r="E20" s="19">
        <v>154.58443500000001</v>
      </c>
      <c r="F20" s="19" t="s">
        <v>10</v>
      </c>
      <c r="G20" s="19" t="s">
        <v>10</v>
      </c>
      <c r="H20" s="19">
        <v>67</v>
      </c>
      <c r="I20" s="19">
        <v>113.381838</v>
      </c>
      <c r="J20" s="47">
        <f>H20/('Max capacities'!$E5)</f>
        <v>0.11754385964912281</v>
      </c>
      <c r="K20" s="47">
        <f>I20/('Max capacities'!$F5)</f>
        <v>0.75587892000000001</v>
      </c>
      <c r="L20" s="47"/>
      <c r="O20" s="1"/>
      <c r="P20" s="2" t="s">
        <v>11</v>
      </c>
      <c r="Q20" s="3">
        <v>10</v>
      </c>
      <c r="R20" s="3" t="s">
        <v>10</v>
      </c>
      <c r="S20" s="19">
        <v>156.35</v>
      </c>
      <c r="T20" s="19" t="s">
        <v>10</v>
      </c>
      <c r="U20" s="19" t="s">
        <v>10</v>
      </c>
      <c r="V20" s="19">
        <v>116.619519</v>
      </c>
      <c r="W20" s="19">
        <v>75</v>
      </c>
      <c r="X20" s="47">
        <f>V20/('Max capacities'!$E5)</f>
        <v>0.20459564736842104</v>
      </c>
      <c r="Y20" s="47">
        <f>W20/('Max capacities'!$F5)</f>
        <v>0.5</v>
      </c>
      <c r="Z20" s="47"/>
      <c r="AC20" s="1"/>
      <c r="AD20" s="2" t="s">
        <v>11</v>
      </c>
      <c r="AE20" s="3">
        <v>10</v>
      </c>
      <c r="AF20" s="3" t="s">
        <v>10</v>
      </c>
      <c r="AG20" s="19">
        <v>154.58443500000001</v>
      </c>
      <c r="AH20" s="19" t="s">
        <v>10</v>
      </c>
      <c r="AI20" s="19" t="s">
        <v>10</v>
      </c>
      <c r="AJ20" s="19">
        <v>67</v>
      </c>
      <c r="AK20" s="19">
        <v>113.381838</v>
      </c>
      <c r="AL20" s="47">
        <f>AJ20/('Max capacities'!$E5)</f>
        <v>0.11754385964912281</v>
      </c>
      <c r="AM20" s="47">
        <f>AK20/('Max capacities'!$F5)</f>
        <v>0.75587892000000001</v>
      </c>
      <c r="AN20" s="47"/>
      <c r="AQ20" s="1"/>
      <c r="AR20" s="2" t="s">
        <v>11</v>
      </c>
      <c r="AS20" s="3">
        <v>10</v>
      </c>
      <c r="AT20" s="3" t="s">
        <v>10</v>
      </c>
      <c r="AU20" s="3">
        <v>162.32</v>
      </c>
      <c r="AV20" s="3" t="s">
        <v>10</v>
      </c>
      <c r="AW20" s="3" t="s">
        <v>10</v>
      </c>
      <c r="AX20" s="3">
        <v>142</v>
      </c>
      <c r="AY20" s="3">
        <v>38</v>
      </c>
      <c r="AZ20" s="47">
        <f>AX20/('Max capacities'!$E5)</f>
        <v>0.24912280701754386</v>
      </c>
      <c r="BA20" s="47">
        <f>AY20/('Max capacities'!$F5)</f>
        <v>0.25333333333333335</v>
      </c>
      <c r="BB20" s="47"/>
      <c r="BE20" s="1"/>
      <c r="CG20" s="1"/>
    </row>
    <row r="21" spans="1:85">
      <c r="A21" s="1"/>
      <c r="B21" s="2" t="s">
        <v>12</v>
      </c>
      <c r="C21" s="3" t="s">
        <v>10</v>
      </c>
      <c r="D21" s="3" t="s">
        <v>10</v>
      </c>
      <c r="E21" s="19">
        <v>0</v>
      </c>
      <c r="F21" s="19">
        <v>15</v>
      </c>
      <c r="G21" s="19">
        <v>6.6</v>
      </c>
      <c r="H21" s="19">
        <v>0</v>
      </c>
      <c r="I21" s="19">
        <v>0</v>
      </c>
      <c r="J21" s="47">
        <f>H21/('Max capacities'!$E6)</f>
        <v>0</v>
      </c>
      <c r="K21" s="47">
        <f>I21/('Max capacities'!$F6)</f>
        <v>0</v>
      </c>
      <c r="L21" s="47"/>
      <c r="O21" s="1"/>
      <c r="P21" s="2" t="s">
        <v>12</v>
      </c>
      <c r="Q21" s="3" t="s">
        <v>10</v>
      </c>
      <c r="R21" s="3" t="s">
        <v>10</v>
      </c>
      <c r="S21" s="19">
        <v>0</v>
      </c>
      <c r="T21" s="19">
        <v>15</v>
      </c>
      <c r="U21" s="19">
        <v>6.6</v>
      </c>
      <c r="V21" s="19">
        <v>0</v>
      </c>
      <c r="W21" s="19">
        <v>0</v>
      </c>
      <c r="X21" s="47">
        <f>V21/('Max capacities'!$E6)</f>
        <v>0</v>
      </c>
      <c r="Y21" s="47">
        <f>W21/('Max capacities'!$F6)</f>
        <v>0</v>
      </c>
      <c r="Z21" s="47"/>
      <c r="AC21" s="1"/>
      <c r="AD21" s="2" t="s">
        <v>12</v>
      </c>
      <c r="AE21" s="3" t="s">
        <v>10</v>
      </c>
      <c r="AF21" s="3" t="s">
        <v>10</v>
      </c>
      <c r="AG21" s="19">
        <v>0</v>
      </c>
      <c r="AH21" s="19">
        <v>15</v>
      </c>
      <c r="AI21" s="19">
        <v>6.6</v>
      </c>
      <c r="AJ21" s="19">
        <v>0</v>
      </c>
      <c r="AK21" s="19">
        <v>0</v>
      </c>
      <c r="AL21" s="47">
        <f>AJ21/('Max capacities'!$E6)</f>
        <v>0</v>
      </c>
      <c r="AM21" s="47">
        <f>AK21/('Max capacities'!$F6)</f>
        <v>0</v>
      </c>
      <c r="AN21" s="47"/>
      <c r="AQ21" s="1"/>
      <c r="AR21" s="2" t="s">
        <v>12</v>
      </c>
      <c r="AS21" s="3" t="s">
        <v>10</v>
      </c>
      <c r="AT21" s="3" t="s">
        <v>10</v>
      </c>
      <c r="AU21" s="3">
        <v>0</v>
      </c>
      <c r="AV21" s="3">
        <v>15</v>
      </c>
      <c r="AW21" s="3">
        <v>6.6</v>
      </c>
      <c r="AX21" s="3">
        <v>0</v>
      </c>
      <c r="AY21" s="3">
        <v>0</v>
      </c>
      <c r="AZ21" s="47">
        <f>AX21/('Max capacities'!$E6)</f>
        <v>0</v>
      </c>
      <c r="BA21" s="47">
        <f>AY21/('Max capacities'!$F6)</f>
        <v>0</v>
      </c>
      <c r="BB21" s="47"/>
      <c r="BE21" s="1"/>
      <c r="CG21" s="1"/>
    </row>
    <row r="22" spans="1:85">
      <c r="A22" s="1"/>
      <c r="B22" s="2" t="s">
        <v>13</v>
      </c>
      <c r="C22" s="3">
        <v>10</v>
      </c>
      <c r="D22" s="3">
        <v>0</v>
      </c>
      <c r="E22" s="19">
        <v>214.499897</v>
      </c>
      <c r="F22" s="19">
        <v>50</v>
      </c>
      <c r="G22" s="19">
        <v>15</v>
      </c>
      <c r="H22" s="19">
        <v>82.014955</v>
      </c>
      <c r="I22" s="19">
        <v>158.341916</v>
      </c>
      <c r="J22" s="47">
        <f>H22/('Max capacities'!$E7)</f>
        <v>3.7279525000000001E-2</v>
      </c>
      <c r="K22" s="47">
        <f>I22/('Max capacities'!$F7)</f>
        <v>0.26390319333333334</v>
      </c>
      <c r="L22" s="47"/>
      <c r="O22" s="1"/>
      <c r="P22" s="2" t="s">
        <v>13</v>
      </c>
      <c r="Q22" s="3">
        <v>10</v>
      </c>
      <c r="R22" s="3">
        <v>0</v>
      </c>
      <c r="S22" s="19">
        <v>214.499897</v>
      </c>
      <c r="T22" s="19">
        <v>50</v>
      </c>
      <c r="U22" s="19">
        <v>15</v>
      </c>
      <c r="V22" s="19">
        <v>82.014955</v>
      </c>
      <c r="W22" s="19">
        <v>158.341916</v>
      </c>
      <c r="X22" s="47">
        <f>V22/('Max capacities'!$E7)</f>
        <v>3.7279525000000001E-2</v>
      </c>
      <c r="Y22" s="47">
        <f>W22/('Max capacities'!$F7)</f>
        <v>0.26390319333333334</v>
      </c>
      <c r="Z22" s="47"/>
      <c r="AC22" s="1"/>
      <c r="AD22" s="2" t="s">
        <v>13</v>
      </c>
      <c r="AE22" s="3">
        <v>10</v>
      </c>
      <c r="AF22" s="3">
        <v>0</v>
      </c>
      <c r="AG22" s="19">
        <v>214.499897</v>
      </c>
      <c r="AH22" s="19">
        <v>50</v>
      </c>
      <c r="AI22" s="19">
        <v>15</v>
      </c>
      <c r="AJ22" s="19">
        <v>82.014955</v>
      </c>
      <c r="AK22" s="19">
        <v>158.341916</v>
      </c>
      <c r="AL22" s="47">
        <f>AJ22/('Max capacities'!$E7)</f>
        <v>3.7279525000000001E-2</v>
      </c>
      <c r="AM22" s="47">
        <f>AK22/('Max capacities'!$F7)</f>
        <v>0.26390319333333334</v>
      </c>
      <c r="AN22" s="47"/>
      <c r="AQ22" s="1"/>
      <c r="AR22" s="2" t="s">
        <v>13</v>
      </c>
      <c r="AS22" s="3">
        <v>10</v>
      </c>
      <c r="AT22" s="3">
        <v>0</v>
      </c>
      <c r="AU22" s="3">
        <v>214.6</v>
      </c>
      <c r="AV22" s="3">
        <v>50</v>
      </c>
      <c r="AW22" s="3">
        <v>15</v>
      </c>
      <c r="AX22" s="3">
        <v>95.652174000000002</v>
      </c>
      <c r="AY22" s="3">
        <v>150</v>
      </c>
      <c r="AZ22" s="47">
        <f>AX22/('Max capacities'!$E7)</f>
        <v>4.3478260909090911E-2</v>
      </c>
      <c r="BA22" s="47">
        <f>AY22/('Max capacities'!$F7)</f>
        <v>0.25</v>
      </c>
      <c r="BB22" s="47"/>
      <c r="BE22" s="1"/>
      <c r="CG22" s="1"/>
    </row>
    <row r="23" spans="1:85">
      <c r="A23" s="1"/>
      <c r="B23" s="2" t="s">
        <v>14</v>
      </c>
      <c r="C23" s="3" t="s">
        <v>10</v>
      </c>
      <c r="D23" s="3" t="s">
        <v>10</v>
      </c>
      <c r="E23" s="19">
        <v>21.092327000000001</v>
      </c>
      <c r="F23" s="19">
        <v>18.319054000000001</v>
      </c>
      <c r="G23" s="19">
        <v>0</v>
      </c>
      <c r="H23" s="19">
        <v>9.9514960000000006</v>
      </c>
      <c r="I23" s="19">
        <v>12.659537</v>
      </c>
      <c r="J23" s="47">
        <f>H23/('Max capacities'!$E8)</f>
        <v>2.1173395744680853E-2</v>
      </c>
      <c r="K23" s="47">
        <f>I23/('Max capacities'!$F8)</f>
        <v>0.10549614166666667</v>
      </c>
      <c r="L23" s="47"/>
      <c r="O23" s="1"/>
      <c r="P23" s="2" t="s">
        <v>14</v>
      </c>
      <c r="Q23" s="3" t="s">
        <v>10</v>
      </c>
      <c r="R23" s="3" t="s">
        <v>10</v>
      </c>
      <c r="S23" s="19">
        <v>21.092327000000001</v>
      </c>
      <c r="T23" s="19">
        <v>18.319054000000001</v>
      </c>
      <c r="U23" s="19">
        <v>0</v>
      </c>
      <c r="V23" s="19">
        <v>9.9514960000000006</v>
      </c>
      <c r="W23" s="19">
        <v>12.659537</v>
      </c>
      <c r="X23" s="47">
        <f>V23/('Max capacities'!$E8)</f>
        <v>2.1173395744680853E-2</v>
      </c>
      <c r="Y23" s="47">
        <f>W23/('Max capacities'!$F8)</f>
        <v>0.10549614166666667</v>
      </c>
      <c r="Z23" s="47"/>
      <c r="AC23" s="1"/>
      <c r="AD23" s="2" t="s">
        <v>14</v>
      </c>
      <c r="AE23" s="3" t="s">
        <v>10</v>
      </c>
      <c r="AF23" s="3" t="s">
        <v>10</v>
      </c>
      <c r="AG23" s="19">
        <v>19.860388</v>
      </c>
      <c r="AH23" s="19">
        <v>20</v>
      </c>
      <c r="AI23" s="19">
        <v>0</v>
      </c>
      <c r="AJ23" s="19">
        <v>9.7386239999999997</v>
      </c>
      <c r="AK23" s="19">
        <v>11.302476</v>
      </c>
      <c r="AL23" s="47">
        <f>AJ23/('Max capacities'!$E8)</f>
        <v>2.0720476595744681E-2</v>
      </c>
      <c r="AM23" s="47">
        <f>AK23/('Max capacities'!$F8)</f>
        <v>9.4187300000000002E-2</v>
      </c>
      <c r="AN23" s="47"/>
      <c r="AQ23" s="1"/>
      <c r="AR23" s="2" t="s">
        <v>14</v>
      </c>
      <c r="AS23" s="3" t="s">
        <v>10</v>
      </c>
      <c r="AT23" s="3" t="s">
        <v>10</v>
      </c>
      <c r="AU23" s="3">
        <v>21.092327000000001</v>
      </c>
      <c r="AV23" s="3">
        <v>18.319054000000001</v>
      </c>
      <c r="AW23" s="3">
        <v>0</v>
      </c>
      <c r="AX23" s="3">
        <v>9.9514960000000006</v>
      </c>
      <c r="AY23" s="3">
        <v>12.659537</v>
      </c>
      <c r="AZ23" s="47">
        <f>AX23/('Max capacities'!$E8)</f>
        <v>2.1173395744680853E-2</v>
      </c>
      <c r="BA23" s="47">
        <f>AY23/('Max capacities'!$F8)</f>
        <v>0.10549614166666667</v>
      </c>
      <c r="BB23" s="47"/>
      <c r="BE23" s="1"/>
      <c r="CG23" s="1"/>
    </row>
    <row r="24" spans="1:85">
      <c r="A24" s="1"/>
      <c r="B24" s="2" t="s">
        <v>15</v>
      </c>
      <c r="C24" s="3" t="s">
        <v>10</v>
      </c>
      <c r="D24" s="3" t="s">
        <v>10</v>
      </c>
      <c r="E24" s="19">
        <v>41.370047999999997</v>
      </c>
      <c r="F24" s="19">
        <v>30</v>
      </c>
      <c r="G24" s="19" t="s">
        <v>10</v>
      </c>
      <c r="H24" s="19">
        <v>16.999887000000001</v>
      </c>
      <c r="I24" s="19">
        <v>25.026767</v>
      </c>
      <c r="J24" s="47">
        <f>H24/('Max capacities'!$E9)</f>
        <v>2.1249858750000003E-2</v>
      </c>
      <c r="K24" s="47">
        <f>I24/('Max capacities'!$F9)</f>
        <v>0.125133835</v>
      </c>
      <c r="L24" s="47"/>
      <c r="O24" s="1"/>
      <c r="P24" s="2" t="s">
        <v>15</v>
      </c>
      <c r="Q24" s="3" t="s">
        <v>10</v>
      </c>
      <c r="R24" s="3" t="s">
        <v>10</v>
      </c>
      <c r="S24" s="19">
        <v>41.370047999999997</v>
      </c>
      <c r="T24" s="19">
        <v>30</v>
      </c>
      <c r="U24" s="19" t="s">
        <v>10</v>
      </c>
      <c r="V24" s="19">
        <v>16.999887000000001</v>
      </c>
      <c r="W24" s="19">
        <v>25.026767</v>
      </c>
      <c r="X24" s="47">
        <f>V24/('Max capacities'!$E9)</f>
        <v>2.1249858750000003E-2</v>
      </c>
      <c r="Y24" s="47">
        <f>W24/('Max capacities'!$F9)</f>
        <v>0.125133835</v>
      </c>
      <c r="Z24" s="47"/>
      <c r="AC24" s="1"/>
      <c r="AD24" s="2" t="s">
        <v>15</v>
      </c>
      <c r="AE24" s="3" t="s">
        <v>10</v>
      </c>
      <c r="AF24" s="3" t="s">
        <v>10</v>
      </c>
      <c r="AG24" s="19">
        <v>41.370047999999997</v>
      </c>
      <c r="AH24" s="19">
        <v>30</v>
      </c>
      <c r="AI24" s="19" t="s">
        <v>10</v>
      </c>
      <c r="AJ24" s="19">
        <v>16.999887000000001</v>
      </c>
      <c r="AK24" s="19">
        <v>25.026767</v>
      </c>
      <c r="AL24" s="47">
        <f>AJ24/('Max capacities'!$E9)</f>
        <v>2.1249858750000003E-2</v>
      </c>
      <c r="AM24" s="47">
        <f>AK24/('Max capacities'!$F9)</f>
        <v>0.125133835</v>
      </c>
      <c r="AN24" s="47"/>
      <c r="AQ24" s="1"/>
      <c r="AR24" s="2" t="s">
        <v>15</v>
      </c>
      <c r="AS24" s="3" t="s">
        <v>10</v>
      </c>
      <c r="AT24" s="3" t="s">
        <v>10</v>
      </c>
      <c r="AU24" s="3">
        <v>41.370047999999997</v>
      </c>
      <c r="AV24" s="3">
        <v>30</v>
      </c>
      <c r="AW24" s="3" t="s">
        <v>10</v>
      </c>
      <c r="AX24" s="3">
        <v>16.999887000000001</v>
      </c>
      <c r="AY24" s="3">
        <v>25.026767</v>
      </c>
      <c r="AZ24" s="47">
        <f>AX24/('Max capacities'!$E9)</f>
        <v>2.1249858750000003E-2</v>
      </c>
      <c r="BA24" s="47">
        <f>AY24/('Max capacities'!$F9)</f>
        <v>0.125133835</v>
      </c>
      <c r="BB24" s="47"/>
      <c r="BE24" s="1"/>
      <c r="CG24" s="1"/>
    </row>
    <row r="25" spans="1:85">
      <c r="A25" s="1"/>
      <c r="B25" s="2" t="s">
        <v>16</v>
      </c>
      <c r="C25" s="3" t="s">
        <v>10</v>
      </c>
      <c r="D25" s="3" t="s">
        <v>10</v>
      </c>
      <c r="E25" s="19">
        <v>1.09128</v>
      </c>
      <c r="F25" s="19">
        <v>1.5</v>
      </c>
      <c r="G25" s="19" t="s">
        <v>10</v>
      </c>
      <c r="H25" s="19">
        <v>1</v>
      </c>
      <c r="I25" s="19">
        <v>0.15948300000000001</v>
      </c>
      <c r="J25" s="47">
        <f>H25/('Max capacities'!$E10)</f>
        <v>7.5187969924812026E-3</v>
      </c>
      <c r="K25" s="47">
        <f>I25/('Max capacities'!$F10)</f>
        <v>5.3161000000000007E-3</v>
      </c>
      <c r="L25" s="47"/>
      <c r="O25" s="1"/>
      <c r="P25" s="2" t="s">
        <v>16</v>
      </c>
      <c r="Q25" s="3" t="s">
        <v>10</v>
      </c>
      <c r="R25" s="3" t="s">
        <v>10</v>
      </c>
      <c r="S25" s="19">
        <v>1.09128</v>
      </c>
      <c r="T25" s="19">
        <v>1.5</v>
      </c>
      <c r="U25" s="19" t="s">
        <v>10</v>
      </c>
      <c r="V25" s="19">
        <v>1</v>
      </c>
      <c r="W25" s="19">
        <v>0.15948300000000001</v>
      </c>
      <c r="X25" s="47">
        <f>V25/('Max capacities'!$E10)</f>
        <v>7.5187969924812026E-3</v>
      </c>
      <c r="Y25" s="47">
        <f>W25/('Max capacities'!$F10)</f>
        <v>5.3161000000000007E-3</v>
      </c>
      <c r="Z25" s="47"/>
      <c r="AC25" s="1"/>
      <c r="AD25" s="2" t="s">
        <v>16</v>
      </c>
      <c r="AE25" s="3" t="s">
        <v>10</v>
      </c>
      <c r="AF25" s="3" t="s">
        <v>10</v>
      </c>
      <c r="AG25" s="19">
        <v>1.075469</v>
      </c>
      <c r="AH25" s="19">
        <v>1.5395540000000001</v>
      </c>
      <c r="AI25" s="19" t="s">
        <v>10</v>
      </c>
      <c r="AJ25" s="19">
        <v>1</v>
      </c>
      <c r="AK25" s="19">
        <v>0.12751499999999999</v>
      </c>
      <c r="AL25" s="47">
        <f>AJ25/('Max capacities'!$E10)</f>
        <v>7.5187969924812026E-3</v>
      </c>
      <c r="AM25" s="47">
        <f>AK25/('Max capacities'!$F10)</f>
        <v>4.2504999999999999E-3</v>
      </c>
      <c r="AN25" s="47"/>
      <c r="AQ25" s="1"/>
      <c r="AR25" s="2" t="s">
        <v>16</v>
      </c>
      <c r="AS25" s="3" t="s">
        <v>10</v>
      </c>
      <c r="AT25" s="3" t="s">
        <v>10</v>
      </c>
      <c r="AU25" s="3">
        <v>1.09128</v>
      </c>
      <c r="AV25" s="3">
        <v>1.5</v>
      </c>
      <c r="AW25" s="3" t="s">
        <v>10</v>
      </c>
      <c r="AX25" s="3">
        <v>1</v>
      </c>
      <c r="AY25" s="3">
        <v>0.15948300000000001</v>
      </c>
      <c r="AZ25" s="47">
        <f>AX25/('Max capacities'!$E10)</f>
        <v>7.5187969924812026E-3</v>
      </c>
      <c r="BA25" s="47">
        <f>AY25/('Max capacities'!$F10)</f>
        <v>5.3161000000000007E-3</v>
      </c>
      <c r="BB25" s="47"/>
      <c r="BE25" s="1"/>
      <c r="CG25" s="1"/>
    </row>
    <row r="26" spans="1:85">
      <c r="A26" s="1"/>
      <c r="B26" s="2" t="s">
        <v>17</v>
      </c>
      <c r="C26" s="3">
        <v>41.4</v>
      </c>
      <c r="D26" s="3" t="s">
        <v>10</v>
      </c>
      <c r="E26" s="19">
        <v>167.81871599999999</v>
      </c>
      <c r="F26" s="19">
        <v>50</v>
      </c>
      <c r="G26" s="19" t="s">
        <v>10</v>
      </c>
      <c r="H26" s="19">
        <v>76.7</v>
      </c>
      <c r="I26" s="19">
        <v>135.25135700000001</v>
      </c>
      <c r="J26" s="47">
        <f>H26/('Max capacities'!$E11)</f>
        <v>5.1133333333333336E-2</v>
      </c>
      <c r="K26" s="47">
        <f>I26/('Max capacities'!$F11)</f>
        <v>0.33812839250000004</v>
      </c>
      <c r="L26" s="47"/>
      <c r="O26" s="1"/>
      <c r="P26" s="2" t="s">
        <v>17</v>
      </c>
      <c r="Q26" s="3">
        <v>41.4</v>
      </c>
      <c r="R26" s="3" t="s">
        <v>10</v>
      </c>
      <c r="S26" s="19">
        <v>167.81871599999999</v>
      </c>
      <c r="T26" s="19">
        <v>50</v>
      </c>
      <c r="U26" s="19" t="s">
        <v>10</v>
      </c>
      <c r="V26" s="19">
        <v>76.7</v>
      </c>
      <c r="W26" s="19">
        <v>135.25135700000001</v>
      </c>
      <c r="X26" s="47">
        <f>V26/('Max capacities'!$E11)</f>
        <v>5.1133333333333336E-2</v>
      </c>
      <c r="Y26" s="47">
        <f>W26/('Max capacities'!$F11)</f>
        <v>0.33812839250000004</v>
      </c>
      <c r="Z26" s="47"/>
      <c r="AC26" s="1"/>
      <c r="AD26" s="2" t="s">
        <v>17</v>
      </c>
      <c r="AE26" s="3">
        <v>41.4</v>
      </c>
      <c r="AF26" s="3" t="s">
        <v>10</v>
      </c>
      <c r="AG26" s="19">
        <v>167.81871599999999</v>
      </c>
      <c r="AH26" s="19">
        <v>50</v>
      </c>
      <c r="AI26" s="19" t="s">
        <v>10</v>
      </c>
      <c r="AJ26" s="19">
        <v>76.7</v>
      </c>
      <c r="AK26" s="19">
        <v>135.25135700000001</v>
      </c>
      <c r="AL26" s="47">
        <f>AJ26/('Max capacities'!$E11)</f>
        <v>5.1133333333333336E-2</v>
      </c>
      <c r="AM26" s="47">
        <f>AK26/('Max capacities'!$F11)</f>
        <v>0.33812839250000004</v>
      </c>
      <c r="AN26" s="47"/>
      <c r="AQ26" s="1"/>
      <c r="AR26" s="2" t="s">
        <v>17</v>
      </c>
      <c r="AS26" s="3">
        <v>41.4</v>
      </c>
      <c r="AT26" s="3" t="s">
        <v>10</v>
      </c>
      <c r="AU26" s="3">
        <v>168.7</v>
      </c>
      <c r="AV26" s="3">
        <v>50</v>
      </c>
      <c r="AW26" s="3" t="s">
        <v>10</v>
      </c>
      <c r="AX26" s="3">
        <v>135.32986099999999</v>
      </c>
      <c r="AY26" s="3">
        <v>100</v>
      </c>
      <c r="AZ26" s="47">
        <f>AX26/('Max capacities'!$E11)</f>
        <v>9.0219907333333335E-2</v>
      </c>
      <c r="BA26" s="47">
        <f>AY26/('Max capacities'!$F11)</f>
        <v>0.25</v>
      </c>
      <c r="BB26" s="47"/>
      <c r="BE26" s="1"/>
      <c r="CG26" s="1"/>
    </row>
    <row r="27" spans="1:85">
      <c r="A27" s="1"/>
      <c r="B27" s="2" t="s">
        <v>18</v>
      </c>
      <c r="C27" s="3" t="s">
        <v>10</v>
      </c>
      <c r="D27" s="3" t="s">
        <v>10</v>
      </c>
      <c r="E27" s="19">
        <v>14.878026999999999</v>
      </c>
      <c r="F27" s="19">
        <v>27.002192000000001</v>
      </c>
      <c r="G27" s="19" t="s">
        <v>10</v>
      </c>
      <c r="H27" s="19">
        <v>8.6756489999999999</v>
      </c>
      <c r="I27" s="19">
        <v>6.5685000000000002</v>
      </c>
      <c r="J27" s="47">
        <f>H27/('Max capacities'!$E12)</f>
        <v>2.4787568571428571E-2</v>
      </c>
      <c r="K27" s="47">
        <f>I27/('Max capacities'!$F12)</f>
        <v>6.5685000000000007E-2</v>
      </c>
      <c r="L27" s="47"/>
      <c r="O27" s="1"/>
      <c r="P27" s="2" t="s">
        <v>18</v>
      </c>
      <c r="Q27" s="3" t="s">
        <v>10</v>
      </c>
      <c r="R27" s="3" t="s">
        <v>10</v>
      </c>
      <c r="S27" s="19">
        <v>14.878026999999999</v>
      </c>
      <c r="T27" s="19">
        <v>27.002192000000001</v>
      </c>
      <c r="U27" s="19" t="s">
        <v>10</v>
      </c>
      <c r="V27" s="19">
        <v>8.6756489999999999</v>
      </c>
      <c r="W27" s="19">
        <v>6.5685000000000002</v>
      </c>
      <c r="X27" s="47">
        <f>V27/('Max capacities'!$E12)</f>
        <v>2.4787568571428571E-2</v>
      </c>
      <c r="Y27" s="47">
        <f>W27/('Max capacities'!$F12)</f>
        <v>6.5685000000000007E-2</v>
      </c>
      <c r="Z27" s="47"/>
      <c r="AC27" s="1"/>
      <c r="AD27" s="2" t="s">
        <v>18</v>
      </c>
      <c r="AE27" s="3" t="s">
        <v>10</v>
      </c>
      <c r="AF27" s="3" t="s">
        <v>10</v>
      </c>
      <c r="AG27" s="19">
        <v>12.18</v>
      </c>
      <c r="AH27" s="19">
        <v>30</v>
      </c>
      <c r="AI27" s="19" t="s">
        <v>10</v>
      </c>
      <c r="AJ27" s="19">
        <v>8.4662269999999999</v>
      </c>
      <c r="AK27" s="19">
        <v>4.2648570000000001</v>
      </c>
      <c r="AL27" s="47">
        <f>AJ27/('Max capacities'!$E12)</f>
        <v>2.4189220000000001E-2</v>
      </c>
      <c r="AM27" s="47">
        <f>AK27/('Max capacities'!$F12)</f>
        <v>4.2648570000000004E-2</v>
      </c>
      <c r="AN27" s="47"/>
      <c r="AQ27" s="1"/>
      <c r="AR27" s="2" t="s">
        <v>18</v>
      </c>
      <c r="AS27" s="3" t="s">
        <v>10</v>
      </c>
      <c r="AT27" s="3" t="s">
        <v>10</v>
      </c>
      <c r="AU27" s="3">
        <v>14.878026999999999</v>
      </c>
      <c r="AV27" s="3">
        <v>27.002192000000001</v>
      </c>
      <c r="AW27" s="3" t="s">
        <v>10</v>
      </c>
      <c r="AX27" s="3">
        <v>8.6756489999999999</v>
      </c>
      <c r="AY27" s="3">
        <v>6.5685000000000002</v>
      </c>
      <c r="AZ27" s="47">
        <f>AX27/('Max capacities'!$E12)</f>
        <v>2.4787568571428571E-2</v>
      </c>
      <c r="BA27" s="47">
        <f>AY27/('Max capacities'!$F12)</f>
        <v>6.5685000000000007E-2</v>
      </c>
      <c r="BB27" s="47"/>
      <c r="BE27" s="1"/>
      <c r="CG27" s="1"/>
    </row>
    <row r="28" spans="1:85">
      <c r="A28" s="1"/>
      <c r="B28" s="2" t="s">
        <v>19</v>
      </c>
      <c r="C28" s="3" t="s">
        <v>10</v>
      </c>
      <c r="D28" s="3" t="s">
        <v>10</v>
      </c>
      <c r="E28" s="19">
        <v>17.024108999999999</v>
      </c>
      <c r="F28" s="19">
        <v>0</v>
      </c>
      <c r="G28" s="19">
        <v>8</v>
      </c>
      <c r="H28" s="19">
        <v>7.0156790000000004</v>
      </c>
      <c r="I28" s="19">
        <v>18.903088</v>
      </c>
      <c r="J28" s="47">
        <f>H28/('Max capacities'!$E13)</f>
        <v>1.5251476086956524E-2</v>
      </c>
      <c r="K28" s="47">
        <f>I28/('Max capacities'!$F13)</f>
        <v>0.15752573333333333</v>
      </c>
      <c r="L28" s="47"/>
      <c r="O28" s="1"/>
      <c r="P28" s="2" t="s">
        <v>19</v>
      </c>
      <c r="Q28" s="3" t="s">
        <v>10</v>
      </c>
      <c r="R28" s="3" t="s">
        <v>10</v>
      </c>
      <c r="S28" s="19">
        <v>17.024108999999999</v>
      </c>
      <c r="T28" s="19">
        <v>0</v>
      </c>
      <c r="U28" s="19">
        <v>8</v>
      </c>
      <c r="V28" s="19">
        <v>7.0156790000000004</v>
      </c>
      <c r="W28" s="19">
        <v>18.903088</v>
      </c>
      <c r="X28" s="47">
        <f>V28/('Max capacities'!$E13)</f>
        <v>1.5251476086956524E-2</v>
      </c>
      <c r="Y28" s="47">
        <f>W28/('Max capacities'!$F13)</f>
        <v>0.15752573333333333</v>
      </c>
      <c r="Z28" s="47"/>
      <c r="AC28" s="1"/>
      <c r="AD28" s="2" t="s">
        <v>19</v>
      </c>
      <c r="AE28" s="3" t="s">
        <v>10</v>
      </c>
      <c r="AF28" s="3" t="s">
        <v>10</v>
      </c>
      <c r="AG28" s="19">
        <v>17.024108999999999</v>
      </c>
      <c r="AH28" s="19">
        <v>0</v>
      </c>
      <c r="AI28" s="19">
        <v>8</v>
      </c>
      <c r="AJ28" s="19">
        <v>7.0156790000000004</v>
      </c>
      <c r="AK28" s="19">
        <v>18.903088</v>
      </c>
      <c r="AL28" s="47">
        <f>AJ28/('Max capacities'!$E13)</f>
        <v>1.5251476086956524E-2</v>
      </c>
      <c r="AM28" s="47">
        <f>AK28/('Max capacities'!$F13)</f>
        <v>0.15752573333333333</v>
      </c>
      <c r="AN28" s="47"/>
      <c r="AQ28" s="1"/>
      <c r="AR28" s="2" t="s">
        <v>19</v>
      </c>
      <c r="AS28" s="3" t="s">
        <v>10</v>
      </c>
      <c r="AT28" s="3" t="s">
        <v>10</v>
      </c>
      <c r="AU28" s="3">
        <v>17.024108999999999</v>
      </c>
      <c r="AV28" s="3">
        <v>0</v>
      </c>
      <c r="AW28" s="3">
        <v>8</v>
      </c>
      <c r="AX28" s="3">
        <v>7.0156790000000004</v>
      </c>
      <c r="AY28" s="3">
        <v>18.903088</v>
      </c>
      <c r="AZ28" s="47">
        <f>AX28/('Max capacities'!$E13)</f>
        <v>1.5251476086956524E-2</v>
      </c>
      <c r="BA28" s="47">
        <f>AY28/('Max capacities'!$F13)</f>
        <v>0.15752573333333333</v>
      </c>
      <c r="BB28" s="47"/>
      <c r="BE28" s="1"/>
      <c r="CG28" s="1"/>
    </row>
    <row r="29" spans="1:85" ht="73.75">
      <c r="A29" s="1"/>
      <c r="B29" s="8" t="s">
        <v>47</v>
      </c>
      <c r="I29" s="4"/>
      <c r="J29" s="10" t="s">
        <v>48</v>
      </c>
      <c r="K29" s="10" t="s">
        <v>49</v>
      </c>
      <c r="L29" s="10" t="s">
        <v>99</v>
      </c>
      <c r="M29" s="10" t="s">
        <v>106</v>
      </c>
      <c r="N29" s="10" t="s">
        <v>107</v>
      </c>
      <c r="O29" s="1"/>
      <c r="P29" s="8" t="s">
        <v>47</v>
      </c>
      <c r="W29" s="4"/>
      <c r="X29" s="10" t="s">
        <v>48</v>
      </c>
      <c r="Y29" s="10" t="s">
        <v>49</v>
      </c>
      <c r="Z29" s="10" t="s">
        <v>99</v>
      </c>
      <c r="AA29" s="10" t="s">
        <v>106</v>
      </c>
      <c r="AB29" s="10" t="s">
        <v>107</v>
      </c>
      <c r="AC29" s="1"/>
      <c r="AD29" s="8" t="s">
        <v>47</v>
      </c>
      <c r="AK29" s="4"/>
      <c r="AL29" s="10" t="s">
        <v>48</v>
      </c>
      <c r="AM29" s="10" t="s">
        <v>49</v>
      </c>
      <c r="AN29" s="10" t="s">
        <v>99</v>
      </c>
      <c r="AO29" s="10" t="s">
        <v>106</v>
      </c>
      <c r="AP29" s="10" t="s">
        <v>107</v>
      </c>
      <c r="AQ29" s="1"/>
      <c r="AR29" s="8" t="s">
        <v>47</v>
      </c>
      <c r="AY29" s="4"/>
      <c r="AZ29" s="10" t="s">
        <v>48</v>
      </c>
      <c r="BA29" s="10" t="s">
        <v>49</v>
      </c>
      <c r="BB29" s="10" t="s">
        <v>99</v>
      </c>
      <c r="BC29" s="10" t="s">
        <v>106</v>
      </c>
      <c r="BD29" s="10" t="s">
        <v>107</v>
      </c>
      <c r="BE29" s="1"/>
      <c r="CG29" s="1"/>
    </row>
    <row r="30" spans="1:85" ht="29.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K30" s="10"/>
      <c r="L30" s="10"/>
      <c r="M30" s="10"/>
      <c r="N30" s="10"/>
      <c r="O30" s="1"/>
      <c r="P30" s="2" t="s">
        <v>0</v>
      </c>
      <c r="Q30" s="2" t="s">
        <v>1</v>
      </c>
      <c r="R30" s="2" t="s">
        <v>2</v>
      </c>
      <c r="S30" s="2" t="s">
        <v>3</v>
      </c>
      <c r="T30" s="2" t="s">
        <v>4</v>
      </c>
      <c r="U30" s="2" t="s">
        <v>5</v>
      </c>
      <c r="V30" s="2" t="s">
        <v>6</v>
      </c>
      <c r="W30" s="2" t="s">
        <v>7</v>
      </c>
      <c r="X30" s="10"/>
      <c r="Y30" s="10"/>
      <c r="Z30" s="10"/>
      <c r="AA30" s="10"/>
      <c r="AB30" s="10"/>
      <c r="AC30" s="1"/>
      <c r="AD30" s="2" t="s">
        <v>0</v>
      </c>
      <c r="AE30" s="2" t="s">
        <v>1</v>
      </c>
      <c r="AF30" s="2" t="s">
        <v>2</v>
      </c>
      <c r="AG30" s="2" t="s">
        <v>3</v>
      </c>
      <c r="AH30" s="2" t="s">
        <v>4</v>
      </c>
      <c r="AI30" s="2" t="s">
        <v>5</v>
      </c>
      <c r="AJ30" s="2" t="s">
        <v>6</v>
      </c>
      <c r="AK30" s="2" t="s">
        <v>7</v>
      </c>
      <c r="AL30" s="10"/>
      <c r="AM30" s="10"/>
      <c r="AN30" s="10"/>
      <c r="AO30" s="10"/>
      <c r="AP30" s="10"/>
      <c r="AQ30" s="1"/>
      <c r="AR30" s="2" t="s">
        <v>0</v>
      </c>
      <c r="AS30" s="2" t="s">
        <v>1</v>
      </c>
      <c r="AT30" s="2" t="s">
        <v>2</v>
      </c>
      <c r="AU30" s="2" t="s">
        <v>3</v>
      </c>
      <c r="AV30" s="2" t="s">
        <v>4</v>
      </c>
      <c r="AW30" s="2" t="s">
        <v>5</v>
      </c>
      <c r="AX30" s="2" t="s">
        <v>6</v>
      </c>
      <c r="AY30" s="2" t="s">
        <v>7</v>
      </c>
      <c r="AZ30" s="10"/>
      <c r="BA30" s="10"/>
      <c r="BB30" s="10"/>
      <c r="BC30" s="10"/>
      <c r="BD30" s="10"/>
      <c r="BE30" s="1"/>
      <c r="CG30" s="1"/>
    </row>
    <row r="31" spans="1:85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K31" s="10"/>
      <c r="L31" s="10"/>
      <c r="M31" s="10"/>
      <c r="N31" s="10"/>
      <c r="O31" s="1"/>
      <c r="P31" s="2" t="s">
        <v>8</v>
      </c>
      <c r="Q31" s="2"/>
      <c r="R31" s="2"/>
      <c r="S31" s="2"/>
      <c r="T31" s="2"/>
      <c r="U31" s="2"/>
      <c r="V31" s="2"/>
      <c r="W31" s="2"/>
      <c r="X31" s="10"/>
      <c r="Y31" s="10"/>
      <c r="Z31" s="10"/>
      <c r="AA31" s="10"/>
      <c r="AB31" s="10"/>
      <c r="AC31" s="1"/>
      <c r="AD31" s="2" t="s">
        <v>8</v>
      </c>
      <c r="AE31" s="2"/>
      <c r="AF31" s="2"/>
      <c r="AG31" s="2"/>
      <c r="AH31" s="2"/>
      <c r="AI31" s="2"/>
      <c r="AJ31" s="2"/>
      <c r="AK31" s="2"/>
      <c r="AL31" s="10"/>
      <c r="AM31" s="10"/>
      <c r="AN31" s="10"/>
      <c r="AO31" s="10"/>
      <c r="AP31" s="10"/>
      <c r="AQ31" s="1"/>
      <c r="AR31" s="2" t="s">
        <v>8</v>
      </c>
      <c r="AS31" s="2"/>
      <c r="AT31" s="2"/>
      <c r="AU31" s="2"/>
      <c r="AV31" s="2"/>
      <c r="AW31" s="2"/>
      <c r="AX31" s="2"/>
      <c r="AY31" s="2"/>
      <c r="AZ31" s="10"/>
      <c r="BA31" s="10"/>
      <c r="BB31" s="10"/>
      <c r="BC31" s="10"/>
      <c r="BD31" s="10"/>
      <c r="BE31" s="1"/>
      <c r="CG31" s="1"/>
    </row>
    <row r="32" spans="1:85">
      <c r="A32" s="1"/>
      <c r="B32" s="2" t="s">
        <v>9</v>
      </c>
      <c r="C32" s="3" t="s">
        <v>10</v>
      </c>
      <c r="D32" s="3" t="s">
        <v>10</v>
      </c>
      <c r="E32" s="19">
        <v>211.91850500000001</v>
      </c>
      <c r="F32" s="19" t="s">
        <v>10</v>
      </c>
      <c r="G32" s="19" t="s">
        <v>10</v>
      </c>
      <c r="H32" s="19">
        <v>31.586642999999999</v>
      </c>
      <c r="I32" s="19">
        <v>193.51089200000001</v>
      </c>
      <c r="J32" s="12">
        <f>H32/(SUM(C32:I32))</f>
        <v>7.2277994647519106E-2</v>
      </c>
      <c r="K32" s="12">
        <f>I32/(SUM(C32:I32))</f>
        <v>0.44280043359506893</v>
      </c>
      <c r="L32" s="55">
        <f>SUM(C32:I32)</f>
        <v>437.01604000000003</v>
      </c>
      <c r="M32" s="24">
        <f>E32*$E$57</f>
        <v>139.86621330000003</v>
      </c>
      <c r="N32" s="24">
        <f>-(G5-'0. Current system'!$G5)*SUM(C32:I32)/(M32-'0. Current system'!$L32)</f>
        <v>-200.13026136624617</v>
      </c>
      <c r="O32" s="1"/>
      <c r="P32" s="2" t="s">
        <v>9</v>
      </c>
      <c r="Q32" s="3" t="s">
        <v>10</v>
      </c>
      <c r="R32" s="3" t="s">
        <v>10</v>
      </c>
      <c r="S32" s="19">
        <v>211.91850500000001</v>
      </c>
      <c r="T32" s="19" t="s">
        <v>10</v>
      </c>
      <c r="U32" s="19" t="s">
        <v>10</v>
      </c>
      <c r="V32" s="19">
        <v>31.586642999999999</v>
      </c>
      <c r="W32" s="19">
        <v>193.51089200000001</v>
      </c>
      <c r="X32" s="12">
        <f>V32/(SUM(Q32:W32))</f>
        <v>7.2277994647519106E-2</v>
      </c>
      <c r="Y32" s="12">
        <f>W32/(SUM(Q32:W32))</f>
        <v>0.44280043359506893</v>
      </c>
      <c r="Z32" s="55">
        <f>SUM(Q32:W32)</f>
        <v>437.01604000000003</v>
      </c>
      <c r="AA32" s="24">
        <f>S32*$E$57</f>
        <v>139.86621330000003</v>
      </c>
      <c r="AB32" s="24">
        <f>-(U5-'0. Current system'!$G5)*SUM(Q32:W32)/(AA32-'0. Current system'!$L32)</f>
        <v>-200.13026136624617</v>
      </c>
      <c r="AC32" s="1"/>
      <c r="AD32" s="2" t="s">
        <v>9</v>
      </c>
      <c r="AE32" s="3" t="s">
        <v>10</v>
      </c>
      <c r="AF32" s="3" t="s">
        <v>10</v>
      </c>
      <c r="AG32" s="19">
        <v>211.91850500000001</v>
      </c>
      <c r="AH32" s="19" t="s">
        <v>10</v>
      </c>
      <c r="AI32" s="19" t="s">
        <v>10</v>
      </c>
      <c r="AJ32" s="19">
        <v>31.586642999999999</v>
      </c>
      <c r="AK32" s="19">
        <v>193.51089200000001</v>
      </c>
      <c r="AL32" s="12">
        <f>AJ32/(SUM(AE32:AK32))</f>
        <v>7.2277994647519106E-2</v>
      </c>
      <c r="AM32" s="12">
        <f>AK32/(SUM(AE32:AK32))</f>
        <v>0.44280043359506893</v>
      </c>
      <c r="AN32" s="55">
        <f>SUM(AE32:AK32)</f>
        <v>437.01604000000003</v>
      </c>
      <c r="AO32" s="24">
        <f>AG32*$E$57</f>
        <v>139.86621330000003</v>
      </c>
      <c r="AP32" s="24">
        <f>-(AI5-'0. Current system'!$G5)*SUM(AE32:AK32)/(AO32-'0. Current system'!$L32)</f>
        <v>-95.298067625564826</v>
      </c>
      <c r="AQ32" s="1"/>
      <c r="AR32" s="2" t="s">
        <v>9</v>
      </c>
      <c r="AS32" s="3" t="s">
        <v>10</v>
      </c>
      <c r="AT32" s="3" t="s">
        <v>10</v>
      </c>
      <c r="AU32" s="3">
        <v>246.538614</v>
      </c>
      <c r="AV32" s="3" t="s">
        <v>10</v>
      </c>
      <c r="AW32" s="3" t="s">
        <v>10</v>
      </c>
      <c r="AX32" s="3">
        <v>78.917462</v>
      </c>
      <c r="AY32" s="3">
        <v>111.55996399999999</v>
      </c>
      <c r="AZ32" s="12">
        <f>AX32/(SUM(AS32:AY32))</f>
        <v>0.18058252964811086</v>
      </c>
      <c r="BA32" s="12">
        <f>AY32/(SUM(AS32:AY32))</f>
        <v>0.25527658893252525</v>
      </c>
      <c r="BB32" s="55">
        <f>SUM(AS32:AY32)</f>
        <v>437.01603999999998</v>
      </c>
      <c r="BC32" s="24">
        <f>AU32*$E$57</f>
        <v>162.71548523999999</v>
      </c>
      <c r="BD32" s="24">
        <f>-(AW5-'0. Current system'!$G5)*SUM(AS32:AY32)/(BC32-'0. Current system'!$L32)</f>
        <v>-176.2406327792759</v>
      </c>
      <c r="BE32" s="1"/>
      <c r="CG32" s="1"/>
    </row>
    <row r="33" spans="1:85">
      <c r="A33" s="1"/>
      <c r="B33" s="2" t="s">
        <v>11</v>
      </c>
      <c r="C33" s="3">
        <v>84.420990000000003</v>
      </c>
      <c r="D33" s="3" t="s">
        <v>10</v>
      </c>
      <c r="E33" s="19">
        <v>438.71940699999999</v>
      </c>
      <c r="F33" s="19" t="s">
        <v>10</v>
      </c>
      <c r="G33" s="19" t="s">
        <v>10</v>
      </c>
      <c r="H33" s="19">
        <v>118.206886</v>
      </c>
      <c r="I33" s="19">
        <v>560.57481700000005</v>
      </c>
      <c r="J33" s="12">
        <f t="shared" ref="J33:J41" si="7">H33/(SUM(C33:I33))</f>
        <v>9.8348209089424321E-2</v>
      </c>
      <c r="K33" s="12">
        <f t="shared" ref="K33:K41" si="8">I33/(SUM(C33:I33))</f>
        <v>0.46639862683280386</v>
      </c>
      <c r="L33" s="55">
        <f t="shared" ref="L33:L41" si="9">SUM(C33:I33)</f>
        <v>1201.9221000000002</v>
      </c>
      <c r="M33" s="24">
        <f t="shared" ref="M33:M41" si="10">E33*$E$57</f>
        <v>289.55480862000002</v>
      </c>
      <c r="N33" s="24">
        <f>-(G6-'0. Current system'!$G6)*SUM(C33:I33)/(M33-'0. Current system'!$L33)</f>
        <v>-193.40913638801734</v>
      </c>
      <c r="O33" s="1"/>
      <c r="P33" s="2" t="s">
        <v>11</v>
      </c>
      <c r="Q33" s="3">
        <v>85.130657999999997</v>
      </c>
      <c r="R33" s="3" t="s">
        <v>10</v>
      </c>
      <c r="S33" s="19">
        <v>540.50326900000005</v>
      </c>
      <c r="T33" s="19" t="s">
        <v>10</v>
      </c>
      <c r="U33" s="19" t="s">
        <v>10</v>
      </c>
      <c r="V33" s="19">
        <v>205.54117600000001</v>
      </c>
      <c r="W33" s="19">
        <v>370.74699700000002</v>
      </c>
      <c r="X33" s="12">
        <f t="shared" ref="X33:X41" si="11">V33/(SUM(Q33:W33))</f>
        <v>0.17101039742925103</v>
      </c>
      <c r="Y33" s="12">
        <f t="shared" ref="Y33:Y41" si="12">W33/(SUM(Q33:W33))</f>
        <v>0.30846175222171224</v>
      </c>
      <c r="Z33" s="55">
        <f t="shared" ref="Z33:Z41" si="13">SUM(Q33:W33)</f>
        <v>1201.9221</v>
      </c>
      <c r="AA33" s="24">
        <f t="shared" ref="AA33:AA41" si="14">S33*$E$57</f>
        <v>356.73215754000006</v>
      </c>
      <c r="AB33" s="24">
        <f>-(U6-'0. Current system'!$G6)*SUM(Q33:W33)/(AA33-'0. Current system'!$L33)</f>
        <v>-166.57908785508121</v>
      </c>
      <c r="AC33" s="1"/>
      <c r="AD33" s="2" t="s">
        <v>11</v>
      </c>
      <c r="AE33" s="3">
        <v>84.420990000000003</v>
      </c>
      <c r="AF33" s="3" t="s">
        <v>10</v>
      </c>
      <c r="AG33" s="19">
        <v>438.71940699999999</v>
      </c>
      <c r="AH33" s="19" t="s">
        <v>10</v>
      </c>
      <c r="AI33" s="19" t="s">
        <v>10</v>
      </c>
      <c r="AJ33" s="19">
        <v>118.20799700000001</v>
      </c>
      <c r="AK33" s="19">
        <v>560.57370600000002</v>
      </c>
      <c r="AL33" s="12">
        <f t="shared" ref="AL33:AL41" si="15">AJ33/(SUM(AE33:AK33))</f>
        <v>9.8349133442175662E-2</v>
      </c>
      <c r="AM33" s="12">
        <f t="shared" ref="AM33:AM41" si="16">AK33/(SUM(AE33:AK33))</f>
        <v>0.46639770248005258</v>
      </c>
      <c r="AN33" s="55">
        <f t="shared" ref="AN33:AN41" si="17">SUM(AE33:AK33)</f>
        <v>1201.9221</v>
      </c>
      <c r="AO33" s="24">
        <f t="shared" ref="AO33:AO41" si="18">AG33*$E$57</f>
        <v>289.55480862000002</v>
      </c>
      <c r="AP33" s="24">
        <f>-(AI6-'0. Current system'!$G6)*SUM(AE33:AK33)/(AO33-'0. Current system'!$L33)</f>
        <v>-112.1266408237541</v>
      </c>
      <c r="AQ33" s="1"/>
      <c r="AR33" s="2" t="s">
        <v>11</v>
      </c>
      <c r="AS33" s="3">
        <v>86.458585999999997</v>
      </c>
      <c r="AT33" s="3" t="s">
        <v>10</v>
      </c>
      <c r="AU33" s="3">
        <v>676.58671200000003</v>
      </c>
      <c r="AV33" s="3" t="s">
        <v>10</v>
      </c>
      <c r="AW33" s="3" t="s">
        <v>10</v>
      </c>
      <c r="AX33" s="3">
        <v>250.66751400000001</v>
      </c>
      <c r="AY33" s="3">
        <v>188.20928799999999</v>
      </c>
      <c r="AZ33" s="12">
        <f t="shared" ref="AZ33:AZ41" si="19">AX33/(SUM(AS33:AY33))</f>
        <v>0.20855554116194386</v>
      </c>
      <c r="BA33" s="12">
        <f t="shared" ref="BA33:BA41" si="20">AY33/(SUM(AS33:AY33))</f>
        <v>0.15659025489255918</v>
      </c>
      <c r="BB33" s="55">
        <f t="shared" ref="BB33:BB41" si="21">SUM(AS33:AY33)</f>
        <v>1201.9221</v>
      </c>
      <c r="BC33" s="24">
        <f t="shared" ref="BC33:BC41" si="22">AU33*$E$57</f>
        <v>446.54722992000006</v>
      </c>
      <c r="BD33" s="24">
        <f>-(AW6-'0. Current system'!$G6)*SUM(AS33:AY33)/(BC33-'0. Current system'!$L33)</f>
        <v>-110.42002564731737</v>
      </c>
      <c r="BE33" s="1"/>
      <c r="CG33" s="1"/>
    </row>
    <row r="34" spans="1:85">
      <c r="A34" s="1"/>
      <c r="B34" s="2" t="s">
        <v>12</v>
      </c>
      <c r="C34" s="3" t="s">
        <v>10</v>
      </c>
      <c r="D34" s="3" t="s">
        <v>10</v>
      </c>
      <c r="E34" s="19">
        <v>0</v>
      </c>
      <c r="F34" s="19">
        <v>82.737200000000001</v>
      </c>
      <c r="G34" s="19">
        <v>44.743699999999997</v>
      </c>
      <c r="H34" s="19">
        <v>0</v>
      </c>
      <c r="I34" s="19">
        <v>0</v>
      </c>
      <c r="J34" s="12">
        <f t="shared" si="7"/>
        <v>0</v>
      </c>
      <c r="K34" s="12">
        <f t="shared" si="8"/>
        <v>0</v>
      </c>
      <c r="L34" s="55">
        <f t="shared" si="9"/>
        <v>127.48089999999999</v>
      </c>
      <c r="M34" s="24">
        <f t="shared" si="10"/>
        <v>0</v>
      </c>
      <c r="N34" s="24">
        <f>-(G7-'0. Current system'!$G7)*SUM(C34:I34)/(M34-'0. Current system'!$L34)</f>
        <v>-47.932955410785333</v>
      </c>
      <c r="O34" s="1"/>
      <c r="P34" s="2" t="s">
        <v>12</v>
      </c>
      <c r="Q34" s="3" t="s">
        <v>10</v>
      </c>
      <c r="R34" s="3" t="s">
        <v>10</v>
      </c>
      <c r="S34" s="19">
        <v>0</v>
      </c>
      <c r="T34" s="19">
        <v>82.737200000000001</v>
      </c>
      <c r="U34" s="19">
        <v>44.743699999999997</v>
      </c>
      <c r="V34" s="19">
        <v>0</v>
      </c>
      <c r="W34" s="19">
        <v>0</v>
      </c>
      <c r="X34" s="12">
        <f t="shared" si="11"/>
        <v>0</v>
      </c>
      <c r="Y34" s="12">
        <f t="shared" si="12"/>
        <v>0</v>
      </c>
      <c r="Z34" s="55">
        <f t="shared" si="13"/>
        <v>127.48089999999999</v>
      </c>
      <c r="AA34" s="24">
        <f t="shared" si="14"/>
        <v>0</v>
      </c>
      <c r="AB34" s="24">
        <f>-(U7-'0. Current system'!$G7)*SUM(Q34:W34)/(AA34-'0. Current system'!$L34)</f>
        <v>-47.932955410785333</v>
      </c>
      <c r="AC34" s="1"/>
      <c r="AD34" s="2" t="s">
        <v>12</v>
      </c>
      <c r="AE34" s="3" t="s">
        <v>10</v>
      </c>
      <c r="AF34" s="3" t="s">
        <v>10</v>
      </c>
      <c r="AG34" s="19">
        <v>0</v>
      </c>
      <c r="AH34" s="19">
        <v>82.737200000000001</v>
      </c>
      <c r="AI34" s="19">
        <v>44.743699999999997</v>
      </c>
      <c r="AJ34" s="19">
        <v>0</v>
      </c>
      <c r="AK34" s="19">
        <v>0</v>
      </c>
      <c r="AL34" s="12">
        <f t="shared" si="15"/>
        <v>0</v>
      </c>
      <c r="AM34" s="12">
        <f t="shared" si="16"/>
        <v>0</v>
      </c>
      <c r="AN34" s="55">
        <f t="shared" si="17"/>
        <v>127.48089999999999</v>
      </c>
      <c r="AO34" s="24">
        <f t="shared" si="18"/>
        <v>0</v>
      </c>
      <c r="AP34" s="24">
        <f>-(AI7-'0. Current system'!$G7)*SUM(AE34:AK34)/(AO34-'0. Current system'!$L34)</f>
        <v>-47.932955410785333</v>
      </c>
      <c r="AQ34" s="1"/>
      <c r="AR34" s="2" t="s">
        <v>12</v>
      </c>
      <c r="AS34" s="3" t="s">
        <v>10</v>
      </c>
      <c r="AT34" s="3" t="s">
        <v>10</v>
      </c>
      <c r="AU34" s="3">
        <v>0</v>
      </c>
      <c r="AV34" s="3">
        <v>82.737200000000001</v>
      </c>
      <c r="AW34" s="3">
        <v>44.743699999999997</v>
      </c>
      <c r="AX34" s="3">
        <v>0</v>
      </c>
      <c r="AY34" s="3">
        <v>0</v>
      </c>
      <c r="AZ34" s="12">
        <f t="shared" si="19"/>
        <v>0</v>
      </c>
      <c r="BA34" s="12">
        <f t="shared" si="20"/>
        <v>0</v>
      </c>
      <c r="BB34" s="55">
        <f t="shared" si="21"/>
        <v>127.48089999999999</v>
      </c>
      <c r="BC34" s="24">
        <f t="shared" si="22"/>
        <v>0</v>
      </c>
      <c r="BD34" s="24">
        <f>-(AW7-'0. Current system'!$G7)*SUM(AS34:AY34)/(BC34-'0. Current system'!$L34)</f>
        <v>-47.932955410785333</v>
      </c>
      <c r="BE34" s="1"/>
      <c r="CG34" s="1"/>
    </row>
    <row r="35" spans="1:85">
      <c r="A35" s="1"/>
      <c r="B35" s="2" t="s">
        <v>13</v>
      </c>
      <c r="C35" s="3">
        <v>78.661452999999995</v>
      </c>
      <c r="D35" s="3">
        <v>0</v>
      </c>
      <c r="E35" s="19">
        <v>542.301468</v>
      </c>
      <c r="F35" s="19">
        <v>386.64283</v>
      </c>
      <c r="G35" s="19">
        <v>127.690133</v>
      </c>
      <c r="H35" s="19">
        <v>145.39126099999999</v>
      </c>
      <c r="I35" s="19">
        <v>722.48305500000004</v>
      </c>
      <c r="J35" s="12">
        <f t="shared" si="7"/>
        <v>7.2580583017858386E-2</v>
      </c>
      <c r="K35" s="12">
        <f t="shared" si="8"/>
        <v>0.36066982975285877</v>
      </c>
      <c r="L35" s="55">
        <f t="shared" si="9"/>
        <v>2003.1702</v>
      </c>
      <c r="M35" s="24">
        <f t="shared" si="10"/>
        <v>357.91896888000002</v>
      </c>
      <c r="N35" s="24">
        <f>-(G8-'0. Current system'!$G8)*SUM(C35:I35)/(M35-'0. Current system'!$L35)</f>
        <v>-169.82858247312416</v>
      </c>
      <c r="O35" s="1"/>
      <c r="P35" s="2" t="s">
        <v>13</v>
      </c>
      <c r="Q35" s="3">
        <v>78.661452999999995</v>
      </c>
      <c r="R35" s="3">
        <v>0</v>
      </c>
      <c r="S35" s="19">
        <v>542.301468</v>
      </c>
      <c r="T35" s="19">
        <v>386.64283</v>
      </c>
      <c r="U35" s="19">
        <v>127.690133</v>
      </c>
      <c r="V35" s="19">
        <v>145.38849300000001</v>
      </c>
      <c r="W35" s="19">
        <v>722.48582399999998</v>
      </c>
      <c r="X35" s="12">
        <f t="shared" si="11"/>
        <v>7.2579201171932783E-2</v>
      </c>
      <c r="Y35" s="12">
        <f t="shared" si="12"/>
        <v>0.3606712118817107</v>
      </c>
      <c r="Z35" s="55">
        <f t="shared" si="13"/>
        <v>2003.1702009999999</v>
      </c>
      <c r="AA35" s="24">
        <f t="shared" si="14"/>
        <v>357.91896888000002</v>
      </c>
      <c r="AB35" s="24">
        <f>-(U8-'0. Current system'!$G8)*SUM(Q35:W35)/(AA35-'0. Current system'!$L35)</f>
        <v>-169.82858255790407</v>
      </c>
      <c r="AC35" s="1"/>
      <c r="AD35" s="2" t="s">
        <v>13</v>
      </c>
      <c r="AE35" s="3">
        <v>78.661452999999995</v>
      </c>
      <c r="AF35" s="3">
        <v>0</v>
      </c>
      <c r="AG35" s="19">
        <v>542.301468</v>
      </c>
      <c r="AH35" s="19">
        <v>386.64283</v>
      </c>
      <c r="AI35" s="19">
        <v>127.690133</v>
      </c>
      <c r="AJ35" s="19">
        <v>145.39126099999999</v>
      </c>
      <c r="AK35" s="19">
        <v>722.48305500000004</v>
      </c>
      <c r="AL35" s="12">
        <f t="shared" si="15"/>
        <v>7.2580583017858386E-2</v>
      </c>
      <c r="AM35" s="12">
        <f t="shared" si="16"/>
        <v>0.36066982975285877</v>
      </c>
      <c r="AN35" s="55">
        <f t="shared" si="17"/>
        <v>2003.1702</v>
      </c>
      <c r="AO35" s="24">
        <f t="shared" si="18"/>
        <v>357.91896888000002</v>
      </c>
      <c r="AP35" s="24">
        <f>-(AI8-'0. Current system'!$G8)*SUM(AE35:AK35)/(AO35-'0. Current system'!$L35)</f>
        <v>-111.26384402380265</v>
      </c>
      <c r="AQ35" s="1"/>
      <c r="AR35" s="2" t="s">
        <v>13</v>
      </c>
      <c r="AS35" s="3">
        <v>79.807238999999996</v>
      </c>
      <c r="AT35" s="3">
        <v>0</v>
      </c>
      <c r="AU35" s="3">
        <v>553.08233700000005</v>
      </c>
      <c r="AV35" s="3">
        <v>387.66320400000001</v>
      </c>
      <c r="AW35" s="3">
        <v>128.14703700000001</v>
      </c>
      <c r="AX35" s="3">
        <v>169.60337699999999</v>
      </c>
      <c r="AY35" s="3">
        <v>684.86700599999995</v>
      </c>
      <c r="AZ35" s="12">
        <f t="shared" si="19"/>
        <v>8.4667482074164246E-2</v>
      </c>
      <c r="BA35" s="12">
        <f t="shared" si="20"/>
        <v>0.34189157067132886</v>
      </c>
      <c r="BB35" s="55">
        <f t="shared" si="21"/>
        <v>2003.1701999999998</v>
      </c>
      <c r="BC35" s="24">
        <f t="shared" si="22"/>
        <v>365.03434242000003</v>
      </c>
      <c r="BD35" s="24">
        <f>-(AW8-'0. Current system'!$G8)*SUM(AS35:AY35)/(BC35-'0. Current system'!$L35)</f>
        <v>-167.51099436573199</v>
      </c>
      <c r="BE35" s="1"/>
      <c r="CG35" s="1"/>
    </row>
    <row r="36" spans="1:85">
      <c r="A36" s="1"/>
      <c r="B36" s="2" t="s">
        <v>14</v>
      </c>
      <c r="C36" s="3" t="s">
        <v>10</v>
      </c>
      <c r="D36" s="3" t="s">
        <v>10</v>
      </c>
      <c r="E36" s="19">
        <v>45.268473</v>
      </c>
      <c r="F36" s="19">
        <v>140.520006</v>
      </c>
      <c r="G36" s="19">
        <v>0</v>
      </c>
      <c r="H36" s="19">
        <v>17.093385999999999</v>
      </c>
      <c r="I36" s="19">
        <v>61.136834999999998</v>
      </c>
      <c r="J36" s="12">
        <f t="shared" si="7"/>
        <v>6.474308827367152E-2</v>
      </c>
      <c r="K36" s="12">
        <f t="shared" si="8"/>
        <v>0.23156251810951267</v>
      </c>
      <c r="L36" s="55">
        <f t="shared" si="9"/>
        <v>264.01870000000002</v>
      </c>
      <c r="M36" s="24">
        <f t="shared" si="10"/>
        <v>29.877192180000002</v>
      </c>
      <c r="N36" s="24">
        <f>-(G9-'0. Current system'!$G9)*SUM(C36:I36)/(M36-'0. Current system'!$L36)</f>
        <v>-155.74888060070609</v>
      </c>
      <c r="O36" s="1"/>
      <c r="P36" s="2" t="s">
        <v>14</v>
      </c>
      <c r="Q36" s="3" t="s">
        <v>10</v>
      </c>
      <c r="R36" s="3" t="s">
        <v>10</v>
      </c>
      <c r="S36" s="19">
        <v>45.268473</v>
      </c>
      <c r="T36" s="19">
        <v>140.520006</v>
      </c>
      <c r="U36" s="19">
        <v>0</v>
      </c>
      <c r="V36" s="19">
        <v>17.095085999999998</v>
      </c>
      <c r="W36" s="19">
        <v>61.135134999999998</v>
      </c>
      <c r="X36" s="12">
        <f t="shared" si="11"/>
        <v>6.474952721151947E-2</v>
      </c>
      <c r="Y36" s="12">
        <f t="shared" si="12"/>
        <v>0.23155607917166471</v>
      </c>
      <c r="Z36" s="55">
        <f t="shared" si="13"/>
        <v>264.01870000000002</v>
      </c>
      <c r="AA36" s="24">
        <f t="shared" si="14"/>
        <v>29.877192180000002</v>
      </c>
      <c r="AB36" s="24">
        <f>-(U9-'0. Current system'!$G9)*SUM(Q36:W36)/(AA36-'0. Current system'!$L36)</f>
        <v>-155.74888060070609</v>
      </c>
      <c r="AC36" s="1"/>
      <c r="AD36" s="2" t="s">
        <v>14</v>
      </c>
      <c r="AE36" s="3" t="s">
        <v>10</v>
      </c>
      <c r="AF36" s="3" t="s">
        <v>10</v>
      </c>
      <c r="AG36" s="19">
        <v>39.783247000000003</v>
      </c>
      <c r="AH36" s="19">
        <v>152.90993499999999</v>
      </c>
      <c r="AI36" s="19">
        <v>0</v>
      </c>
      <c r="AJ36" s="19">
        <v>16.729766000000001</v>
      </c>
      <c r="AK36" s="19">
        <v>54.595751999999997</v>
      </c>
      <c r="AL36" s="12">
        <f t="shared" si="15"/>
        <v>6.3365837344097231E-2</v>
      </c>
      <c r="AM36" s="12">
        <f t="shared" si="16"/>
        <v>0.2067874434651788</v>
      </c>
      <c r="AN36" s="55">
        <f t="shared" si="17"/>
        <v>264.01869999999997</v>
      </c>
      <c r="AO36" s="24">
        <f t="shared" si="18"/>
        <v>26.256943020000005</v>
      </c>
      <c r="AP36" s="24">
        <f>-(AI9-'0. Current system'!$G9)*SUM(AE36:AK36)/(AO36-'0. Current system'!$L36)</f>
        <v>-132.29705328506364</v>
      </c>
      <c r="AQ36" s="1"/>
      <c r="AR36" s="2" t="s">
        <v>14</v>
      </c>
      <c r="AS36" s="3" t="s">
        <v>10</v>
      </c>
      <c r="AT36" s="3" t="s">
        <v>10</v>
      </c>
      <c r="AU36" s="3">
        <v>45.268473</v>
      </c>
      <c r="AV36" s="3">
        <v>140.520006</v>
      </c>
      <c r="AW36" s="3">
        <v>0</v>
      </c>
      <c r="AX36" s="3">
        <v>17.093371999999999</v>
      </c>
      <c r="AY36" s="3">
        <v>61.136850000000003</v>
      </c>
      <c r="AZ36" s="12">
        <f t="shared" si="19"/>
        <v>6.4743035001903149E-2</v>
      </c>
      <c r="BA36" s="12">
        <f t="shared" si="20"/>
        <v>0.23156257404660138</v>
      </c>
      <c r="BB36" s="55">
        <f t="shared" si="21"/>
        <v>264.01870099999996</v>
      </c>
      <c r="BC36" s="24">
        <f t="shared" si="22"/>
        <v>29.877192180000002</v>
      </c>
      <c r="BD36" s="24">
        <f>-(AW9-'0. Current system'!$G9)*SUM(AS36:AY36)/(BC36-'0. Current system'!$L36)</f>
        <v>-155.74888119062214</v>
      </c>
      <c r="BE36" s="1"/>
      <c r="CG36" s="1"/>
    </row>
    <row r="37" spans="1:85">
      <c r="A37" s="1"/>
      <c r="B37" s="2" t="s">
        <v>15</v>
      </c>
      <c r="C37" s="3" t="s">
        <v>10</v>
      </c>
      <c r="D37" s="3" t="s">
        <v>10</v>
      </c>
      <c r="E37" s="19">
        <v>88.268637999999996</v>
      </c>
      <c r="F37" s="19">
        <v>230.600538</v>
      </c>
      <c r="G37" s="19" t="s">
        <v>10</v>
      </c>
      <c r="H37" s="19">
        <v>30.029613999999999</v>
      </c>
      <c r="I37" s="19">
        <v>124.54061</v>
      </c>
      <c r="J37" s="12">
        <f t="shared" si="7"/>
        <v>6.3428633104891566E-2</v>
      </c>
      <c r="K37" s="12">
        <f t="shared" si="8"/>
        <v>0.26305501823464633</v>
      </c>
      <c r="L37" s="55">
        <f t="shared" si="9"/>
        <v>473.43939999999998</v>
      </c>
      <c r="M37" s="24">
        <f t="shared" si="10"/>
        <v>58.257301079999998</v>
      </c>
      <c r="N37" s="24">
        <f>-(G10-'0. Current system'!$G10)*SUM(C37:I37)/(M37-'0. Current system'!$L37)</f>
        <v>-160.27901449510586</v>
      </c>
      <c r="O37" s="1"/>
      <c r="P37" s="2" t="s">
        <v>15</v>
      </c>
      <c r="Q37" s="3" t="s">
        <v>10</v>
      </c>
      <c r="R37" s="3" t="s">
        <v>10</v>
      </c>
      <c r="S37" s="19">
        <v>88.268637999999996</v>
      </c>
      <c r="T37" s="19">
        <v>230.600538</v>
      </c>
      <c r="U37" s="19" t="s">
        <v>10</v>
      </c>
      <c r="V37" s="19">
        <v>30.030317</v>
      </c>
      <c r="W37" s="19">
        <v>124.539908</v>
      </c>
      <c r="X37" s="12">
        <f t="shared" si="11"/>
        <v>6.3430117849443635E-2</v>
      </c>
      <c r="Y37" s="12">
        <f t="shared" si="12"/>
        <v>0.26305353491269734</v>
      </c>
      <c r="Z37" s="55">
        <f t="shared" si="13"/>
        <v>473.43940099999998</v>
      </c>
      <c r="AA37" s="24">
        <f t="shared" si="14"/>
        <v>58.257301079999998</v>
      </c>
      <c r="AB37" s="24">
        <f>-(U10-'0. Current system'!$G10)*SUM(Q37:W37)/(AA37-'0. Current system'!$L37)</f>
        <v>-160.27901483364761</v>
      </c>
      <c r="AC37" s="1"/>
      <c r="AD37" s="2" t="s">
        <v>15</v>
      </c>
      <c r="AE37" s="3" t="s">
        <v>10</v>
      </c>
      <c r="AF37" s="3" t="s">
        <v>10</v>
      </c>
      <c r="AG37" s="19">
        <v>88.268637999999996</v>
      </c>
      <c r="AH37" s="19">
        <v>230.600538</v>
      </c>
      <c r="AI37" s="19" t="s">
        <v>10</v>
      </c>
      <c r="AJ37" s="19">
        <v>30.029944</v>
      </c>
      <c r="AK37" s="19">
        <v>124.54028</v>
      </c>
      <c r="AL37" s="12">
        <f t="shared" si="15"/>
        <v>6.3429330131797232E-2</v>
      </c>
      <c r="AM37" s="12">
        <f t="shared" si="16"/>
        <v>0.26305432120774064</v>
      </c>
      <c r="AN37" s="55">
        <f t="shared" si="17"/>
        <v>473.43939999999998</v>
      </c>
      <c r="AO37" s="24">
        <f t="shared" si="18"/>
        <v>58.257301079999998</v>
      </c>
      <c r="AP37" s="24">
        <f>-(AI10-'0. Current system'!$G10)*SUM(AE37:AK37)/(AO37-'0. Current system'!$L37)</f>
        <v>-135.04528306043383</v>
      </c>
      <c r="AQ37" s="1"/>
      <c r="AR37" s="2" t="s">
        <v>15</v>
      </c>
      <c r="AS37" s="3" t="s">
        <v>10</v>
      </c>
      <c r="AT37" s="3" t="s">
        <v>10</v>
      </c>
      <c r="AU37" s="3">
        <v>88.268637999999996</v>
      </c>
      <c r="AV37" s="3">
        <v>230.600538</v>
      </c>
      <c r="AW37" s="3" t="s">
        <v>10</v>
      </c>
      <c r="AX37" s="3">
        <v>30.020489999999999</v>
      </c>
      <c r="AY37" s="3">
        <v>124.549734</v>
      </c>
      <c r="AZ37" s="12">
        <f t="shared" si="19"/>
        <v>6.3409361367051414E-2</v>
      </c>
      <c r="BA37" s="12">
        <f t="shared" si="20"/>
        <v>0.26307428997248644</v>
      </c>
      <c r="BB37" s="55">
        <f t="shared" si="21"/>
        <v>473.43939999999998</v>
      </c>
      <c r="BC37" s="24">
        <f t="shared" si="22"/>
        <v>58.257301079999998</v>
      </c>
      <c r="BD37" s="24">
        <f>-(AW10-'0. Current system'!$G10)*SUM(AS37:AY37)/(BC37-'0. Current system'!$L37)</f>
        <v>-160.27901449510586</v>
      </c>
      <c r="BE37" s="1"/>
      <c r="CG37" s="1"/>
    </row>
    <row r="38" spans="1:85">
      <c r="A38" s="1"/>
      <c r="B38" s="2" t="s">
        <v>16</v>
      </c>
      <c r="C38" s="3" t="s">
        <v>10</v>
      </c>
      <c r="D38" s="3" t="s">
        <v>10</v>
      </c>
      <c r="E38" s="19">
        <v>2.3487939999999998</v>
      </c>
      <c r="F38" s="19">
        <v>11.556343</v>
      </c>
      <c r="G38" s="19" t="s">
        <v>10</v>
      </c>
      <c r="H38" s="19">
        <v>1.775371</v>
      </c>
      <c r="I38" s="19">
        <v>0.71001099999999995</v>
      </c>
      <c r="J38" s="12">
        <f t="shared" si="7"/>
        <v>0.1083169483528862</v>
      </c>
      <c r="K38" s="12">
        <f t="shared" si="8"/>
        <v>4.3318396446140592E-2</v>
      </c>
      <c r="L38" s="55">
        <f t="shared" si="9"/>
        <v>16.390519000000001</v>
      </c>
      <c r="M38" s="24">
        <f t="shared" si="10"/>
        <v>1.5502040399999999</v>
      </c>
      <c r="N38" s="24">
        <f>-(G11-'0. Current system'!$G11)*SUM(C38:I38)/(M38-'0. Current system'!$L38)</f>
        <v>-125.51473518836774</v>
      </c>
      <c r="O38" s="1"/>
      <c r="P38" s="2" t="s">
        <v>16</v>
      </c>
      <c r="Q38" s="3" t="s">
        <v>10</v>
      </c>
      <c r="R38" s="3" t="s">
        <v>10</v>
      </c>
      <c r="S38" s="19">
        <v>2.3487939999999998</v>
      </c>
      <c r="T38" s="19">
        <v>11.556343</v>
      </c>
      <c r="U38" s="19" t="s">
        <v>10</v>
      </c>
      <c r="V38" s="19">
        <v>1.775361</v>
      </c>
      <c r="W38" s="19">
        <v>0.71002200000000004</v>
      </c>
      <c r="X38" s="12">
        <f t="shared" si="11"/>
        <v>0.108316331635604</v>
      </c>
      <c r="Y38" s="12">
        <f t="shared" si="12"/>
        <v>4.331906492289446E-2</v>
      </c>
      <c r="Z38" s="55">
        <f t="shared" si="13"/>
        <v>16.390519999999999</v>
      </c>
      <c r="AA38" s="24">
        <f t="shared" si="14"/>
        <v>1.5502040399999999</v>
      </c>
      <c r="AB38" s="24">
        <f>-(U11-'0. Current system'!$G11)*SUM(Q38:W38)/(AA38-'0. Current system'!$L38)</f>
        <v>-125.51474284613226</v>
      </c>
      <c r="AC38" s="1"/>
      <c r="AD38" s="2" t="s">
        <v>16</v>
      </c>
      <c r="AE38" s="3" t="s">
        <v>10</v>
      </c>
      <c r="AF38" s="3" t="s">
        <v>10</v>
      </c>
      <c r="AG38" s="19">
        <v>2.2080679999999999</v>
      </c>
      <c r="AH38" s="19">
        <v>11.839938999999999</v>
      </c>
      <c r="AI38" s="19" t="s">
        <v>10</v>
      </c>
      <c r="AJ38" s="19">
        <v>1.7748539999999999</v>
      </c>
      <c r="AK38" s="19">
        <v>0.56766000000000005</v>
      </c>
      <c r="AL38" s="12">
        <f t="shared" si="15"/>
        <v>0.10828539251436851</v>
      </c>
      <c r="AM38" s="12">
        <f t="shared" si="16"/>
        <v>3.4633432335677436E-2</v>
      </c>
      <c r="AN38" s="55">
        <f t="shared" si="17"/>
        <v>16.390521</v>
      </c>
      <c r="AO38" s="24">
        <f t="shared" si="18"/>
        <v>1.45732488</v>
      </c>
      <c r="AP38" s="24">
        <f>-(AI11-'0. Current system'!$G11)*SUM(AE38:AK38)/(AO38-'0. Current system'!$L38)</f>
        <v>-105.10362840445336</v>
      </c>
      <c r="AQ38" s="1"/>
      <c r="AR38" s="2" t="s">
        <v>16</v>
      </c>
      <c r="AS38" s="3" t="s">
        <v>10</v>
      </c>
      <c r="AT38" s="3" t="s">
        <v>10</v>
      </c>
      <c r="AU38" s="3">
        <v>2.3487939999999998</v>
      </c>
      <c r="AV38" s="3">
        <v>11.556343</v>
      </c>
      <c r="AW38" s="3" t="s">
        <v>10</v>
      </c>
      <c r="AX38" s="3">
        <v>1.775358</v>
      </c>
      <c r="AY38" s="3">
        <v>0.71002399999999999</v>
      </c>
      <c r="AZ38" s="12">
        <f t="shared" si="19"/>
        <v>0.10831615521143656</v>
      </c>
      <c r="BA38" s="12">
        <f t="shared" si="20"/>
        <v>4.3319189587590234E-2</v>
      </c>
      <c r="BB38" s="55">
        <f t="shared" si="21"/>
        <v>16.390519000000001</v>
      </c>
      <c r="BC38" s="24">
        <f t="shared" si="22"/>
        <v>1.5502040399999999</v>
      </c>
      <c r="BD38" s="24">
        <f>-(AW11-'0. Current system'!$G11)*SUM(AS38:AY38)/(BC38-'0. Current system'!$L38)</f>
        <v>-125.51473518836774</v>
      </c>
      <c r="BE38" s="1"/>
      <c r="CG38" s="1"/>
    </row>
    <row r="39" spans="1:85">
      <c r="A39" s="1"/>
      <c r="B39" s="2" t="s">
        <v>17</v>
      </c>
      <c r="C39" s="3">
        <v>315.85131100000001</v>
      </c>
      <c r="D39" s="3" t="s">
        <v>10</v>
      </c>
      <c r="E39" s="19">
        <v>309.11481800000001</v>
      </c>
      <c r="F39" s="19">
        <v>390.82113299999997</v>
      </c>
      <c r="G39" s="19" t="s">
        <v>10</v>
      </c>
      <c r="H39" s="19">
        <v>136.112841</v>
      </c>
      <c r="I39" s="19">
        <v>669.17319799999996</v>
      </c>
      <c r="J39" s="12">
        <f t="shared" si="7"/>
        <v>7.4743197281107149E-2</v>
      </c>
      <c r="K39" s="12">
        <f t="shared" si="8"/>
        <v>0.36746088014828349</v>
      </c>
      <c r="L39" s="55">
        <f t="shared" si="9"/>
        <v>1821.0733009999999</v>
      </c>
      <c r="M39" s="24">
        <f t="shared" si="10"/>
        <v>204.01577988000003</v>
      </c>
      <c r="N39" s="24">
        <f>-(G12-'0. Current system'!$G12)*SUM(C39:I39)/(M39-'0. Current system'!$L39)</f>
        <v>-194.78905101951395</v>
      </c>
      <c r="O39" s="1"/>
      <c r="P39" s="2" t="s">
        <v>17</v>
      </c>
      <c r="Q39" s="3">
        <v>315.85131100000001</v>
      </c>
      <c r="R39" s="3" t="s">
        <v>10</v>
      </c>
      <c r="S39" s="19">
        <v>309.11481800000001</v>
      </c>
      <c r="T39" s="19">
        <v>390.82113299999997</v>
      </c>
      <c r="U39" s="19" t="s">
        <v>10</v>
      </c>
      <c r="V39" s="19">
        <v>136.07817700000001</v>
      </c>
      <c r="W39" s="19">
        <v>669.20786099999998</v>
      </c>
      <c r="X39" s="12">
        <f t="shared" si="11"/>
        <v>7.4724162393682889E-2</v>
      </c>
      <c r="Y39" s="12">
        <f t="shared" si="12"/>
        <v>0.36747991472940711</v>
      </c>
      <c r="Z39" s="55">
        <f t="shared" si="13"/>
        <v>1821.0733</v>
      </c>
      <c r="AA39" s="24">
        <f t="shared" si="14"/>
        <v>204.01577988000003</v>
      </c>
      <c r="AB39" s="24">
        <f>-(U12-'0. Current system'!$G12)*SUM(Q39:W39)/(AA39-'0. Current system'!$L39)</f>
        <v>-194.7890509125501</v>
      </c>
      <c r="AC39" s="1"/>
      <c r="AD39" s="2" t="s">
        <v>17</v>
      </c>
      <c r="AE39" s="3">
        <v>315.85131100000001</v>
      </c>
      <c r="AF39" s="3" t="s">
        <v>10</v>
      </c>
      <c r="AG39" s="19">
        <v>309.11481800000001</v>
      </c>
      <c r="AH39" s="19">
        <v>390.82113299999997</v>
      </c>
      <c r="AI39" s="19" t="s">
        <v>10</v>
      </c>
      <c r="AJ39" s="19">
        <v>136.11788799999999</v>
      </c>
      <c r="AK39" s="19">
        <v>669.16815099999997</v>
      </c>
      <c r="AL39" s="12">
        <f t="shared" si="15"/>
        <v>7.4745968723638978E-2</v>
      </c>
      <c r="AM39" s="12">
        <f t="shared" si="16"/>
        <v>0.36745810870575163</v>
      </c>
      <c r="AN39" s="55">
        <f t="shared" si="17"/>
        <v>1821.0733009999999</v>
      </c>
      <c r="AO39" s="24">
        <f t="shared" si="18"/>
        <v>204.01577988000003</v>
      </c>
      <c r="AP39" s="24">
        <f>-(AI12-'0. Current system'!$G12)*SUM(AE39:AK39)/(AO39-'0. Current system'!$L39)</f>
        <v>-160.2194895274765</v>
      </c>
      <c r="AQ39" s="1"/>
      <c r="AR39" s="2" t="s">
        <v>17</v>
      </c>
      <c r="AS39" s="3">
        <v>330.94949500000001</v>
      </c>
      <c r="AT39" s="3" t="s">
        <v>10</v>
      </c>
      <c r="AU39" s="3">
        <v>363.67549700000001</v>
      </c>
      <c r="AV39" s="3">
        <v>391.59759300000002</v>
      </c>
      <c r="AW39" s="3" t="s">
        <v>10</v>
      </c>
      <c r="AX39" s="3">
        <v>239.98415600000001</v>
      </c>
      <c r="AY39" s="3">
        <v>494.866558</v>
      </c>
      <c r="AZ39" s="12">
        <f t="shared" si="19"/>
        <v>0.13178171144005116</v>
      </c>
      <c r="BA39" s="12">
        <f t="shared" si="20"/>
        <v>0.27174444777799139</v>
      </c>
      <c r="BB39" s="55">
        <f t="shared" si="21"/>
        <v>1821.0732989999999</v>
      </c>
      <c r="BC39" s="24">
        <f t="shared" si="22"/>
        <v>240.02582802000001</v>
      </c>
      <c r="BD39" s="24">
        <f>-(AW12-'0. Current system'!$G12)*SUM(AS39:AY39)/(BC39-'0. Current system'!$L39)</f>
        <v>-181.7612841194782</v>
      </c>
      <c r="BE39" s="1"/>
      <c r="CG39" s="1"/>
    </row>
    <row r="40" spans="1:85">
      <c r="A40" s="1"/>
      <c r="B40" s="2" t="s">
        <v>18</v>
      </c>
      <c r="C40" s="3" t="s">
        <v>10</v>
      </c>
      <c r="D40" s="3" t="s">
        <v>10</v>
      </c>
      <c r="E40" s="19">
        <v>25.726569000000001</v>
      </c>
      <c r="F40" s="19">
        <v>203.63075499999999</v>
      </c>
      <c r="G40" s="19" t="s">
        <v>10</v>
      </c>
      <c r="H40" s="19">
        <v>15.364318000000001</v>
      </c>
      <c r="I40" s="19">
        <v>28.461207000000002</v>
      </c>
      <c r="J40" s="12">
        <f t="shared" si="7"/>
        <v>5.6241883618396556E-2</v>
      </c>
      <c r="K40" s="12">
        <f t="shared" si="8"/>
        <v>0.10418372567744909</v>
      </c>
      <c r="L40" s="55">
        <f t="shared" si="9"/>
        <v>273.18284900000003</v>
      </c>
      <c r="M40" s="24">
        <f t="shared" si="10"/>
        <v>16.979535540000001</v>
      </c>
      <c r="N40" s="24">
        <f>-(G13-'0. Current system'!$G13)*SUM(C40:I40)/(M40-'0. Current system'!$L40)</f>
        <v>-133.18132172222269</v>
      </c>
      <c r="O40" s="1"/>
      <c r="P40" s="2" t="s">
        <v>18</v>
      </c>
      <c r="Q40" s="3" t="s">
        <v>10</v>
      </c>
      <c r="R40" s="3" t="s">
        <v>10</v>
      </c>
      <c r="S40" s="19">
        <v>25.726569000000001</v>
      </c>
      <c r="T40" s="19">
        <v>203.63075499999999</v>
      </c>
      <c r="U40" s="19" t="s">
        <v>10</v>
      </c>
      <c r="V40" s="19">
        <v>15.363413</v>
      </c>
      <c r="W40" s="19">
        <v>28.462112999999999</v>
      </c>
      <c r="X40" s="12">
        <f t="shared" si="11"/>
        <v>5.6238570613052749E-2</v>
      </c>
      <c r="Y40" s="12">
        <f t="shared" si="12"/>
        <v>0.10418704175609851</v>
      </c>
      <c r="Z40" s="55">
        <f t="shared" si="13"/>
        <v>273.18285000000003</v>
      </c>
      <c r="AA40" s="24">
        <f t="shared" si="14"/>
        <v>16.979535540000001</v>
      </c>
      <c r="AB40" s="24">
        <f>-(U13-'0. Current system'!$G13)*SUM(Q40:W40)/(AA40-'0. Current system'!$L40)</f>
        <v>-133.18132220973985</v>
      </c>
      <c r="AC40" s="1"/>
      <c r="AD40" s="2" t="s">
        <v>18</v>
      </c>
      <c r="AE40" s="3" t="s">
        <v>10</v>
      </c>
      <c r="AF40" s="3" t="s">
        <v>10</v>
      </c>
      <c r="AG40" s="19">
        <v>17.240652999999998</v>
      </c>
      <c r="AH40" s="19">
        <v>222.46514400000001</v>
      </c>
      <c r="AI40" s="19" t="s">
        <v>10</v>
      </c>
      <c r="AJ40" s="19">
        <v>14.993952999999999</v>
      </c>
      <c r="AK40" s="19">
        <v>18.483101000000001</v>
      </c>
      <c r="AL40" s="12">
        <f t="shared" si="15"/>
        <v>5.4886142907996802E-2</v>
      </c>
      <c r="AM40" s="12">
        <f t="shared" si="16"/>
        <v>6.7658350194170866E-2</v>
      </c>
      <c r="AN40" s="55">
        <f t="shared" si="17"/>
        <v>273.18285100000003</v>
      </c>
      <c r="AO40" s="24">
        <f t="shared" si="18"/>
        <v>11.37883098</v>
      </c>
      <c r="AP40" s="24">
        <f>-(AI13-'0. Current system'!$G13)*SUM(AE40:AK40)/(AO40-'0. Current system'!$L40)</f>
        <v>-120.13988176660665</v>
      </c>
      <c r="AQ40" s="1"/>
      <c r="AR40" s="2" t="s">
        <v>18</v>
      </c>
      <c r="AS40" s="3" t="s">
        <v>10</v>
      </c>
      <c r="AT40" s="3" t="s">
        <v>10</v>
      </c>
      <c r="AU40" s="3">
        <v>25.726569000000001</v>
      </c>
      <c r="AV40" s="3">
        <v>203.63075499999999</v>
      </c>
      <c r="AW40" s="3" t="s">
        <v>10</v>
      </c>
      <c r="AX40" s="3">
        <v>15.361233</v>
      </c>
      <c r="AY40" s="3">
        <v>28.464292</v>
      </c>
      <c r="AZ40" s="12">
        <f t="shared" si="19"/>
        <v>5.6230590815750658E-2</v>
      </c>
      <c r="BA40" s="12">
        <f t="shared" si="20"/>
        <v>0.10419501848009498</v>
      </c>
      <c r="BB40" s="55">
        <f t="shared" si="21"/>
        <v>273.18284900000003</v>
      </c>
      <c r="BC40" s="24">
        <f t="shared" si="22"/>
        <v>16.979535540000001</v>
      </c>
      <c r="BD40" s="24">
        <f>-(AW13-'0. Current system'!$G13)*SUM(AS40:AY40)/(BC40-'0. Current system'!$L40)</f>
        <v>-133.18132172222269</v>
      </c>
      <c r="BE40" s="1"/>
      <c r="CG40" s="1"/>
    </row>
    <row r="41" spans="1:85">
      <c r="A41" s="1"/>
      <c r="B41" s="2" t="s">
        <v>19</v>
      </c>
      <c r="C41" s="3" t="s">
        <v>10</v>
      </c>
      <c r="D41" s="3" t="s">
        <v>10</v>
      </c>
      <c r="E41" s="19">
        <v>23.199607</v>
      </c>
      <c r="F41" s="19">
        <v>0</v>
      </c>
      <c r="G41" s="19">
        <v>56.161991999999998</v>
      </c>
      <c r="H41" s="19">
        <v>12.324951</v>
      </c>
      <c r="I41" s="19">
        <v>90.430049999999994</v>
      </c>
      <c r="J41" s="12">
        <f t="shared" si="7"/>
        <v>6.7676153629048649E-2</v>
      </c>
      <c r="K41" s="12">
        <f t="shared" si="8"/>
        <v>0.49655028701392401</v>
      </c>
      <c r="L41" s="55">
        <f t="shared" si="9"/>
        <v>182.11660000000001</v>
      </c>
      <c r="M41" s="24">
        <f t="shared" si="10"/>
        <v>15.31174062</v>
      </c>
      <c r="N41" s="24">
        <f>-(G14-'0. Current system'!$G14)*SUM(C41:I41)/(M41-'0. Current system'!$L41)</f>
        <v>-236.12181331500776</v>
      </c>
      <c r="O41" s="1"/>
      <c r="P41" s="2" t="s">
        <v>19</v>
      </c>
      <c r="Q41" s="3" t="s">
        <v>10</v>
      </c>
      <c r="R41" s="3" t="s">
        <v>10</v>
      </c>
      <c r="S41" s="19">
        <v>23.199607</v>
      </c>
      <c r="T41" s="19">
        <v>0</v>
      </c>
      <c r="U41" s="19">
        <v>56.161991999999998</v>
      </c>
      <c r="V41" s="19">
        <v>12.329741</v>
      </c>
      <c r="W41" s="19">
        <v>90.425259999999994</v>
      </c>
      <c r="X41" s="12">
        <f t="shared" si="11"/>
        <v>6.7702455459853747E-2</v>
      </c>
      <c r="Y41" s="12">
        <f t="shared" si="12"/>
        <v>0.49652398518311891</v>
      </c>
      <c r="Z41" s="55">
        <f t="shared" si="13"/>
        <v>182.11660000000001</v>
      </c>
      <c r="AA41" s="24">
        <f t="shared" si="14"/>
        <v>15.31174062</v>
      </c>
      <c r="AB41" s="24">
        <f>-(U14-'0. Current system'!$G14)*SUM(Q41:W41)/(AA41-'0. Current system'!$L41)</f>
        <v>-236.12181331500776</v>
      </c>
      <c r="AC41" s="1"/>
      <c r="AD41" s="2" t="s">
        <v>19</v>
      </c>
      <c r="AE41" s="3" t="s">
        <v>10</v>
      </c>
      <c r="AF41" s="3" t="s">
        <v>10</v>
      </c>
      <c r="AG41" s="19">
        <v>23.199607</v>
      </c>
      <c r="AH41" s="19">
        <v>0</v>
      </c>
      <c r="AI41" s="19">
        <v>56.161991999999998</v>
      </c>
      <c r="AJ41" s="19">
        <v>12.324951</v>
      </c>
      <c r="AK41" s="19">
        <v>90.430049999999994</v>
      </c>
      <c r="AL41" s="12">
        <f t="shared" si="15"/>
        <v>6.7676153629048649E-2</v>
      </c>
      <c r="AM41" s="12">
        <f t="shared" si="16"/>
        <v>0.49655028701392401</v>
      </c>
      <c r="AN41" s="55">
        <f t="shared" si="17"/>
        <v>182.11660000000001</v>
      </c>
      <c r="AO41" s="24">
        <f t="shared" si="18"/>
        <v>15.31174062</v>
      </c>
      <c r="AP41" s="24">
        <f>-(AI14-'0. Current system'!$G14)*SUM(AE41:AK41)/(AO41-'0. Current system'!$L41)</f>
        <v>-236.12181331500776</v>
      </c>
      <c r="AQ41" s="1"/>
      <c r="AR41" s="2" t="s">
        <v>19</v>
      </c>
      <c r="AS41" s="3" t="s">
        <v>10</v>
      </c>
      <c r="AT41" s="3" t="s">
        <v>10</v>
      </c>
      <c r="AU41" s="3">
        <v>23.199607</v>
      </c>
      <c r="AV41" s="3">
        <v>0</v>
      </c>
      <c r="AW41" s="3">
        <v>56.161991999999998</v>
      </c>
      <c r="AX41" s="3">
        <v>12.334706000000001</v>
      </c>
      <c r="AY41" s="3">
        <v>90.420293999999998</v>
      </c>
      <c r="AZ41" s="12">
        <f t="shared" si="19"/>
        <v>6.7729718585399237E-2</v>
      </c>
      <c r="BA41" s="12">
        <f t="shared" si="20"/>
        <v>0.49649671966474618</v>
      </c>
      <c r="BB41" s="55">
        <f t="shared" si="21"/>
        <v>182.11659900000001</v>
      </c>
      <c r="BC41" s="24">
        <f t="shared" si="22"/>
        <v>15.31174062</v>
      </c>
      <c r="BD41" s="24">
        <f>-(AW14-'0. Current system'!$G14)*SUM(AS41:AY41)/(BC41-'0. Current system'!$L41)</f>
        <v>-236.12181201846579</v>
      </c>
      <c r="BE41" s="1"/>
      <c r="CG41" s="1"/>
    </row>
    <row r="42" spans="1:85">
      <c r="A42" s="1"/>
      <c r="I42" s="4"/>
      <c r="J42" s="4"/>
      <c r="K42" s="4"/>
      <c r="L42" s="4"/>
      <c r="O42" s="1"/>
      <c r="W42" s="4"/>
      <c r="X42" s="4"/>
      <c r="Y42" s="4"/>
      <c r="Z42" s="4"/>
      <c r="AC42" s="1"/>
      <c r="AK42" s="4"/>
      <c r="AL42" s="4"/>
      <c r="AM42" s="4"/>
      <c r="AN42" s="4"/>
      <c r="AQ42" s="1"/>
      <c r="AY42" s="4"/>
      <c r="AZ42" s="4"/>
      <c r="BA42" s="4"/>
      <c r="BB42" s="4"/>
      <c r="BE42" s="1"/>
      <c r="CG42" s="1"/>
    </row>
    <row r="43" spans="1:85">
      <c r="A43" s="1"/>
      <c r="B43" s="2" t="s">
        <v>9</v>
      </c>
      <c r="C43" t="e">
        <f t="shared" ref="C43:I43" si="23">C32/(C19*8.76)</f>
        <v>#VALUE!</v>
      </c>
      <c r="D43" t="e">
        <f t="shared" si="23"/>
        <v>#VALUE!</v>
      </c>
      <c r="E43" s="6">
        <f t="shared" si="23"/>
        <v>0.38462799035421263</v>
      </c>
      <c r="F43" s="6" t="e">
        <f t="shared" si="23"/>
        <v>#VALUE!</v>
      </c>
      <c r="G43" s="6" t="e">
        <f t="shared" si="23"/>
        <v>#VALUE!</v>
      </c>
      <c r="H43" s="6">
        <f t="shared" si="23"/>
        <v>0.20240170793308832</v>
      </c>
      <c r="I43" s="6">
        <f t="shared" si="23"/>
        <v>0.5081869607688364</v>
      </c>
      <c r="J43" s="4"/>
      <c r="K43" s="4"/>
      <c r="L43" s="4"/>
      <c r="O43" s="1"/>
      <c r="P43" s="2" t="s">
        <v>9</v>
      </c>
      <c r="Q43" t="e">
        <f t="shared" ref="Q43:W43" si="24">Q32/(Q19*8.76)</f>
        <v>#VALUE!</v>
      </c>
      <c r="R43" t="e">
        <f t="shared" si="24"/>
        <v>#VALUE!</v>
      </c>
      <c r="S43" s="6">
        <f t="shared" si="24"/>
        <v>0.38462799035421263</v>
      </c>
      <c r="T43" s="6" t="e">
        <f t="shared" si="24"/>
        <v>#VALUE!</v>
      </c>
      <c r="U43" s="6" t="e">
        <f t="shared" si="24"/>
        <v>#VALUE!</v>
      </c>
      <c r="V43" s="6">
        <f t="shared" si="24"/>
        <v>0.20240170793308832</v>
      </c>
      <c r="W43" s="6">
        <f t="shared" si="24"/>
        <v>0.5081869607688364</v>
      </c>
      <c r="X43" s="4"/>
      <c r="Y43" s="4"/>
      <c r="Z43" s="4"/>
      <c r="AC43" s="1"/>
      <c r="AD43" s="2" t="s">
        <v>9</v>
      </c>
      <c r="AE43" t="e">
        <f t="shared" ref="AE43:AK43" si="25">AE32/(AE19*8.76)</f>
        <v>#VALUE!</v>
      </c>
      <c r="AF43" t="e">
        <f t="shared" si="25"/>
        <v>#VALUE!</v>
      </c>
      <c r="AG43" s="6">
        <f t="shared" si="25"/>
        <v>0.38462799035421263</v>
      </c>
      <c r="AH43" s="6" t="e">
        <f t="shared" si="25"/>
        <v>#VALUE!</v>
      </c>
      <c r="AI43" s="6" t="e">
        <f t="shared" si="25"/>
        <v>#VALUE!</v>
      </c>
      <c r="AJ43" s="6">
        <f t="shared" si="25"/>
        <v>0.20240170793308832</v>
      </c>
      <c r="AK43" s="6">
        <f t="shared" si="25"/>
        <v>0.5081869607688364</v>
      </c>
      <c r="AL43" s="4"/>
      <c r="AM43" s="4"/>
      <c r="AN43" s="4"/>
      <c r="AQ43" s="1"/>
      <c r="AR43" s="2" t="s">
        <v>9</v>
      </c>
      <c r="AS43" t="e">
        <f t="shared" ref="AS43:AY43" si="26">AS32/(AS19*8.76)</f>
        <v>#VALUE!</v>
      </c>
      <c r="AT43" t="e">
        <f t="shared" si="26"/>
        <v>#VALUE!</v>
      </c>
      <c r="AU43" s="6">
        <f t="shared" si="26"/>
        <v>0.44693786560680121</v>
      </c>
      <c r="AV43" s="6" t="e">
        <f t="shared" si="26"/>
        <v>#VALUE!</v>
      </c>
      <c r="AW43" s="6" t="e">
        <f t="shared" si="26"/>
        <v>#VALUE!</v>
      </c>
      <c r="AX43" s="6">
        <f t="shared" si="26"/>
        <v>0.20230870611080709</v>
      </c>
      <c r="AY43" s="6">
        <f t="shared" si="26"/>
        <v>0.50940622831050231</v>
      </c>
      <c r="AZ43" s="4"/>
      <c r="BA43" s="4"/>
      <c r="BB43" s="4"/>
      <c r="BE43" s="1"/>
      <c r="CG43" s="1"/>
    </row>
    <row r="44" spans="1:85">
      <c r="A44" s="1"/>
      <c r="B44" s="2" t="s">
        <v>11</v>
      </c>
      <c r="C44">
        <f t="shared" ref="C44:I44" si="27">C33/(C20*8.76)</f>
        <v>0.96370993150684936</v>
      </c>
      <c r="D44" t="e">
        <f t="shared" si="27"/>
        <v>#VALUE!</v>
      </c>
      <c r="E44" s="6">
        <f t="shared" si="27"/>
        <v>0.32397908681270521</v>
      </c>
      <c r="F44" s="6" t="e">
        <f t="shared" si="27"/>
        <v>#VALUE!</v>
      </c>
      <c r="G44" s="6" t="e">
        <f t="shared" si="27"/>
        <v>#VALUE!</v>
      </c>
      <c r="H44" s="6">
        <f t="shared" si="27"/>
        <v>0.20140204116404281</v>
      </c>
      <c r="I44" s="6">
        <f t="shared" si="27"/>
        <v>0.56439867395927068</v>
      </c>
      <c r="J44" s="4"/>
      <c r="K44" s="4"/>
      <c r="L44" s="4"/>
      <c r="O44" s="1"/>
      <c r="P44" s="2" t="s">
        <v>11</v>
      </c>
      <c r="Q44">
        <f t="shared" ref="Q44:W44" si="28">Q33/(Q20*8.76)</f>
        <v>0.97181116438356163</v>
      </c>
      <c r="R44" t="e">
        <f t="shared" si="28"/>
        <v>#VALUE!</v>
      </c>
      <c r="S44" s="6">
        <f t="shared" si="28"/>
        <v>0.39463566623297169</v>
      </c>
      <c r="T44" s="6" t="e">
        <f t="shared" si="28"/>
        <v>#VALUE!</v>
      </c>
      <c r="U44" s="6" t="e">
        <f t="shared" si="28"/>
        <v>#VALUE!</v>
      </c>
      <c r="V44" s="6">
        <f t="shared" si="28"/>
        <v>0.20119791924549138</v>
      </c>
      <c r="W44" s="6">
        <f t="shared" si="28"/>
        <v>0.56430288736681888</v>
      </c>
      <c r="X44" s="4"/>
      <c r="Y44" s="4"/>
      <c r="Z44" s="4"/>
      <c r="AC44" s="1"/>
      <c r="AD44" s="2" t="s">
        <v>11</v>
      </c>
      <c r="AE44">
        <f t="shared" ref="AE44:AK44" si="29">AE33/(AE20*8.76)</f>
        <v>0.96370993150684936</v>
      </c>
      <c r="AF44" t="e">
        <f t="shared" si="29"/>
        <v>#VALUE!</v>
      </c>
      <c r="AG44" s="6">
        <f t="shared" si="29"/>
        <v>0.32397908681270521</v>
      </c>
      <c r="AH44" s="6" t="e">
        <f t="shared" si="29"/>
        <v>#VALUE!</v>
      </c>
      <c r="AI44" s="6" t="e">
        <f t="shared" si="29"/>
        <v>#VALUE!</v>
      </c>
      <c r="AJ44" s="6">
        <f t="shared" si="29"/>
        <v>0.20140393409664012</v>
      </c>
      <c r="AK44" s="6">
        <f t="shared" si="29"/>
        <v>0.56439755538079062</v>
      </c>
      <c r="AL44" s="4"/>
      <c r="AM44" s="4"/>
      <c r="AN44" s="4"/>
      <c r="AQ44" s="1"/>
      <c r="AR44" s="2" t="s">
        <v>11</v>
      </c>
      <c r="AS44">
        <f t="shared" ref="AS44:AY44" si="30">AS33/(AS20*8.76)</f>
        <v>0.98697015981735159</v>
      </c>
      <c r="AT44" t="e">
        <f t="shared" si="30"/>
        <v>#VALUE!</v>
      </c>
      <c r="AU44" s="6">
        <f t="shared" si="30"/>
        <v>0.47582507409682889</v>
      </c>
      <c r="AV44" s="6" t="e">
        <f t="shared" si="30"/>
        <v>#VALUE!</v>
      </c>
      <c r="AW44" s="6" t="e">
        <f t="shared" si="30"/>
        <v>#VALUE!</v>
      </c>
      <c r="AX44" s="6">
        <f t="shared" si="30"/>
        <v>0.20151417615280726</v>
      </c>
      <c r="AY44" s="6">
        <f t="shared" si="30"/>
        <v>0.56539680365296796</v>
      </c>
      <c r="AZ44" s="4"/>
      <c r="BA44" s="4"/>
      <c r="BB44" s="4"/>
      <c r="BE44" s="1"/>
      <c r="CG44" s="1"/>
    </row>
    <row r="45" spans="1:85">
      <c r="A45" s="1"/>
      <c r="B45" s="2" t="s">
        <v>12</v>
      </c>
      <c r="C45" t="e">
        <f t="shared" ref="C45:I45" si="31">C34/(C21*8.76)</f>
        <v>#VALUE!</v>
      </c>
      <c r="D45" t="e">
        <f t="shared" si="31"/>
        <v>#VALUE!</v>
      </c>
      <c r="E45" s="6" t="e">
        <f t="shared" si="31"/>
        <v>#DIV/0!</v>
      </c>
      <c r="F45" s="6">
        <f t="shared" si="31"/>
        <v>0.62965905631659058</v>
      </c>
      <c r="G45" s="6">
        <f t="shared" si="31"/>
        <v>0.7738982288639823</v>
      </c>
      <c r="H45" s="6" t="e">
        <f t="shared" si="31"/>
        <v>#DIV/0!</v>
      </c>
      <c r="I45" s="6" t="e">
        <f t="shared" si="31"/>
        <v>#DIV/0!</v>
      </c>
      <c r="J45" s="4"/>
      <c r="K45" s="4"/>
      <c r="L45" s="4"/>
      <c r="O45" s="1"/>
      <c r="P45" s="2" t="s">
        <v>12</v>
      </c>
      <c r="Q45" t="e">
        <f t="shared" ref="Q45:W45" si="32">Q34/(Q21*8.76)</f>
        <v>#VALUE!</v>
      </c>
      <c r="R45" t="e">
        <f t="shared" si="32"/>
        <v>#VALUE!</v>
      </c>
      <c r="S45" s="6" t="e">
        <f t="shared" si="32"/>
        <v>#DIV/0!</v>
      </c>
      <c r="T45" s="6">
        <f t="shared" si="32"/>
        <v>0.62965905631659058</v>
      </c>
      <c r="U45" s="6">
        <f t="shared" si="32"/>
        <v>0.7738982288639823</v>
      </c>
      <c r="V45" s="6" t="e">
        <f t="shared" si="32"/>
        <v>#DIV/0!</v>
      </c>
      <c r="W45" s="6" t="e">
        <f t="shared" si="32"/>
        <v>#DIV/0!</v>
      </c>
      <c r="X45" s="4"/>
      <c r="Y45" s="4"/>
      <c r="Z45" s="4"/>
      <c r="AC45" s="1"/>
      <c r="AD45" s="2" t="s">
        <v>12</v>
      </c>
      <c r="AE45" t="e">
        <f t="shared" ref="AE45:AK45" si="33">AE34/(AE21*8.76)</f>
        <v>#VALUE!</v>
      </c>
      <c r="AF45" t="e">
        <f t="shared" si="33"/>
        <v>#VALUE!</v>
      </c>
      <c r="AG45" s="6" t="e">
        <f t="shared" si="33"/>
        <v>#DIV/0!</v>
      </c>
      <c r="AH45" s="6">
        <f t="shared" si="33"/>
        <v>0.62965905631659058</v>
      </c>
      <c r="AI45" s="6">
        <f t="shared" si="33"/>
        <v>0.7738982288639823</v>
      </c>
      <c r="AJ45" s="6" t="e">
        <f t="shared" si="33"/>
        <v>#DIV/0!</v>
      </c>
      <c r="AK45" s="6" t="e">
        <f t="shared" si="33"/>
        <v>#DIV/0!</v>
      </c>
      <c r="AL45" s="4"/>
      <c r="AM45" s="4"/>
      <c r="AN45" s="4"/>
      <c r="AQ45" s="1"/>
      <c r="AR45" s="2" t="s">
        <v>12</v>
      </c>
      <c r="AS45" t="e">
        <f t="shared" ref="AS45:AY45" si="34">AS34/(AS21*8.76)</f>
        <v>#VALUE!</v>
      </c>
      <c r="AT45" t="e">
        <f t="shared" si="34"/>
        <v>#VALUE!</v>
      </c>
      <c r="AU45" s="6" t="e">
        <f t="shared" si="34"/>
        <v>#DIV/0!</v>
      </c>
      <c r="AV45" s="6">
        <f t="shared" si="34"/>
        <v>0.62965905631659058</v>
      </c>
      <c r="AW45" s="6">
        <f t="shared" si="34"/>
        <v>0.7738982288639823</v>
      </c>
      <c r="AX45" s="6" t="e">
        <f t="shared" si="34"/>
        <v>#DIV/0!</v>
      </c>
      <c r="AY45" s="6" t="e">
        <f t="shared" si="34"/>
        <v>#DIV/0!</v>
      </c>
      <c r="AZ45" s="4"/>
      <c r="BA45" s="4"/>
      <c r="BB45" s="4"/>
      <c r="BE45" s="1"/>
      <c r="CG45" s="1"/>
    </row>
    <row r="46" spans="1:85">
      <c r="A46" s="1"/>
      <c r="B46" s="2" t="s">
        <v>13</v>
      </c>
      <c r="C46" s="6">
        <f t="shared" ref="C46:I46" si="35">C35/(C22*8.76)</f>
        <v>0.89796179223744288</v>
      </c>
      <c r="D46" t="e">
        <f t="shared" si="35"/>
        <v>#DIV/0!</v>
      </c>
      <c r="E46" s="6">
        <f t="shared" si="35"/>
        <v>0.28860881119198206</v>
      </c>
      <c r="F46" s="6">
        <f t="shared" si="35"/>
        <v>0.88274618721461184</v>
      </c>
      <c r="G46" s="6">
        <f t="shared" si="35"/>
        <v>0.97176661339421611</v>
      </c>
      <c r="H46" s="6">
        <f t="shared" si="35"/>
        <v>0.20236767688578269</v>
      </c>
      <c r="I46" s="6">
        <f t="shared" si="35"/>
        <v>0.52086798412266977</v>
      </c>
      <c r="J46" s="4"/>
      <c r="K46" s="4"/>
      <c r="L46" s="4"/>
      <c r="O46" s="1"/>
      <c r="P46" s="2" t="s">
        <v>13</v>
      </c>
      <c r="Q46" s="6">
        <f t="shared" ref="Q46:W46" si="36">Q35/(Q22*8.76)</f>
        <v>0.89796179223744288</v>
      </c>
      <c r="R46" t="e">
        <f t="shared" si="36"/>
        <v>#DIV/0!</v>
      </c>
      <c r="S46" s="6">
        <f t="shared" si="36"/>
        <v>0.28860881119198206</v>
      </c>
      <c r="T46" s="6">
        <f t="shared" si="36"/>
        <v>0.88274618721461184</v>
      </c>
      <c r="U46" s="6">
        <f t="shared" si="36"/>
        <v>0.97176661339421611</v>
      </c>
      <c r="V46" s="6">
        <f t="shared" si="36"/>
        <v>0.20236382415264206</v>
      </c>
      <c r="W46" s="6">
        <f t="shared" si="36"/>
        <v>0.52086998040955568</v>
      </c>
      <c r="X46" s="4"/>
      <c r="Y46" s="4"/>
      <c r="Z46" s="4"/>
      <c r="AC46" s="1"/>
      <c r="AD46" s="2" t="s">
        <v>13</v>
      </c>
      <c r="AE46" s="6">
        <f t="shared" ref="AE46:AK46" si="37">AE35/(AE22*8.76)</f>
        <v>0.89796179223744288</v>
      </c>
      <c r="AF46" t="e">
        <f t="shared" si="37"/>
        <v>#DIV/0!</v>
      </c>
      <c r="AG46" s="6">
        <f t="shared" si="37"/>
        <v>0.28860881119198206</v>
      </c>
      <c r="AH46" s="6">
        <f t="shared" si="37"/>
        <v>0.88274618721461184</v>
      </c>
      <c r="AI46" s="6">
        <f t="shared" si="37"/>
        <v>0.97176661339421611</v>
      </c>
      <c r="AJ46" s="6">
        <f t="shared" si="37"/>
        <v>0.20236767688578269</v>
      </c>
      <c r="AK46" s="6">
        <f t="shared" si="37"/>
        <v>0.52086798412266977</v>
      </c>
      <c r="AL46" s="4"/>
      <c r="AM46" s="4"/>
      <c r="AN46" s="4"/>
      <c r="AQ46" s="1"/>
      <c r="AR46" s="2" t="s">
        <v>13</v>
      </c>
      <c r="AS46" s="6">
        <f t="shared" ref="AS46:AY46" si="38">AS35/(AS22*8.76)</f>
        <v>0.91104154109589042</v>
      </c>
      <c r="AT46" t="e">
        <f t="shared" si="38"/>
        <v>#DIV/0!</v>
      </c>
      <c r="AU46" s="6">
        <f t="shared" si="38"/>
        <v>0.29420900783873155</v>
      </c>
      <c r="AV46" s="6">
        <f t="shared" si="38"/>
        <v>0.88507580821917808</v>
      </c>
      <c r="AW46" s="6">
        <f t="shared" si="38"/>
        <v>0.97524381278538819</v>
      </c>
      <c r="AX46" s="6">
        <f t="shared" si="38"/>
        <v>0.20241166809120734</v>
      </c>
      <c r="AY46" s="6">
        <f t="shared" si="38"/>
        <v>0.52120776712328765</v>
      </c>
      <c r="AZ46" s="4"/>
      <c r="BA46" s="4"/>
      <c r="BB46" s="4"/>
      <c r="BE46" s="1"/>
      <c r="CG46" s="1"/>
    </row>
    <row r="47" spans="1:85">
      <c r="A47" s="1"/>
      <c r="B47" s="2" t="s">
        <v>14</v>
      </c>
      <c r="C47" s="6" t="e">
        <f t="shared" ref="C47:I47" si="39">C36/(C23*8.76)</f>
        <v>#VALUE!</v>
      </c>
      <c r="D47" t="e">
        <f t="shared" si="39"/>
        <v>#VALUE!</v>
      </c>
      <c r="E47" s="6">
        <f t="shared" si="39"/>
        <v>0.24500065375003854</v>
      </c>
      <c r="F47" s="6">
        <f t="shared" si="39"/>
        <v>0.87565092473347494</v>
      </c>
      <c r="G47" s="6" t="e">
        <f t="shared" si="39"/>
        <v>#DIV/0!</v>
      </c>
      <c r="H47" s="6">
        <f t="shared" si="39"/>
        <v>0.19608104868750362</v>
      </c>
      <c r="I47" s="6">
        <f t="shared" si="39"/>
        <v>0.55129115333559642</v>
      </c>
      <c r="J47" s="4"/>
      <c r="K47" s="4"/>
      <c r="L47" s="4"/>
      <c r="O47" s="1"/>
      <c r="P47" s="2" t="s">
        <v>14</v>
      </c>
      <c r="Q47" s="6" t="e">
        <f t="shared" ref="Q47:W47" si="40">Q36/(Q23*8.76)</f>
        <v>#VALUE!</v>
      </c>
      <c r="R47" t="e">
        <f t="shared" si="40"/>
        <v>#VALUE!</v>
      </c>
      <c r="S47" s="6">
        <f t="shared" si="40"/>
        <v>0.24500065375003854</v>
      </c>
      <c r="T47" s="6">
        <f t="shared" si="40"/>
        <v>0.87565092473347494</v>
      </c>
      <c r="U47" s="6" t="e">
        <f t="shared" si="40"/>
        <v>#DIV/0!</v>
      </c>
      <c r="V47" s="6">
        <f t="shared" si="40"/>
        <v>0.19610054966775228</v>
      </c>
      <c r="W47" s="6">
        <f t="shared" si="40"/>
        <v>0.55127582387078744</v>
      </c>
      <c r="X47" s="4"/>
      <c r="Y47" s="4"/>
      <c r="Z47" s="4"/>
      <c r="AC47" s="1"/>
      <c r="AD47" s="2" t="s">
        <v>14</v>
      </c>
      <c r="AE47" s="6" t="e">
        <f t="shared" ref="AE47:AK47" si="41">AE36/(AE23*8.76)</f>
        <v>#VALUE!</v>
      </c>
      <c r="AF47" t="e">
        <f t="shared" si="41"/>
        <v>#VALUE!</v>
      </c>
      <c r="AG47" s="6">
        <f t="shared" si="41"/>
        <v>0.22866957848514419</v>
      </c>
      <c r="AH47" s="6">
        <f t="shared" si="41"/>
        <v>0.87277360159817352</v>
      </c>
      <c r="AI47" s="6" t="e">
        <f t="shared" si="41"/>
        <v>#DIV/0!</v>
      </c>
      <c r="AJ47" s="6">
        <f t="shared" si="41"/>
        <v>0.19610477201598567</v>
      </c>
      <c r="AK47" s="6">
        <f t="shared" si="41"/>
        <v>0.55141827160897461</v>
      </c>
      <c r="AL47" s="4"/>
      <c r="AM47" s="4"/>
      <c r="AN47" s="4"/>
      <c r="AQ47" s="1"/>
      <c r="AR47" s="2" t="s">
        <v>14</v>
      </c>
      <c r="AS47" s="6" t="e">
        <f t="shared" ref="AS47:AY47" si="42">AS36/(AS23*8.76)</f>
        <v>#VALUE!</v>
      </c>
      <c r="AT47" t="e">
        <f t="shared" si="42"/>
        <v>#VALUE!</v>
      </c>
      <c r="AU47" s="6">
        <f t="shared" si="42"/>
        <v>0.24500065375003854</v>
      </c>
      <c r="AV47" s="6">
        <f t="shared" si="42"/>
        <v>0.87565092473347494</v>
      </c>
      <c r="AW47" s="6" t="e">
        <f t="shared" si="42"/>
        <v>#DIV/0!</v>
      </c>
      <c r="AX47" s="6">
        <f t="shared" si="42"/>
        <v>0.1960808880911957</v>
      </c>
      <c r="AY47" s="6">
        <f t="shared" si="42"/>
        <v>0.55129128859558008</v>
      </c>
      <c r="AZ47" s="4"/>
      <c r="BA47" s="4"/>
      <c r="BB47" s="4"/>
      <c r="BE47" s="1"/>
      <c r="CG47" s="1"/>
    </row>
    <row r="48" spans="1:85">
      <c r="A48" s="1"/>
      <c r="B48" s="2" t="s">
        <v>15</v>
      </c>
      <c r="C48" s="6" t="e">
        <f t="shared" ref="C48:I48" si="43">C37/(C24*8.76)</f>
        <v>#VALUE!</v>
      </c>
      <c r="D48" t="e">
        <f t="shared" si="43"/>
        <v>#VALUE!</v>
      </c>
      <c r="E48" s="6">
        <f t="shared" si="43"/>
        <v>0.24356579278836674</v>
      </c>
      <c r="F48" s="6">
        <f t="shared" si="43"/>
        <v>0.87747541095890402</v>
      </c>
      <c r="G48" s="6" t="e">
        <f t="shared" si="43"/>
        <v>#VALUE!</v>
      </c>
      <c r="H48" s="6">
        <f t="shared" si="43"/>
        <v>0.20165064202214292</v>
      </c>
      <c r="I48" s="6">
        <f t="shared" si="43"/>
        <v>0.56807036289873747</v>
      </c>
      <c r="J48" s="4"/>
      <c r="K48" s="4"/>
      <c r="L48" s="4"/>
      <c r="O48" s="1"/>
      <c r="P48" s="2" t="s">
        <v>15</v>
      </c>
      <c r="Q48" s="6" t="e">
        <f t="shared" ref="Q48:W48" si="44">Q37/(Q24*8.76)</f>
        <v>#VALUE!</v>
      </c>
      <c r="R48" t="e">
        <f t="shared" si="44"/>
        <v>#VALUE!</v>
      </c>
      <c r="S48" s="6">
        <f t="shared" si="44"/>
        <v>0.24356579278836674</v>
      </c>
      <c r="T48" s="6">
        <f t="shared" si="44"/>
        <v>0.87747541095890402</v>
      </c>
      <c r="U48" s="6" t="e">
        <f t="shared" si="44"/>
        <v>#VALUE!</v>
      </c>
      <c r="V48" s="6">
        <f t="shared" si="44"/>
        <v>0.20165536270890705</v>
      </c>
      <c r="W48" s="6">
        <f t="shared" si="44"/>
        <v>0.5680671608476574</v>
      </c>
      <c r="X48" s="4"/>
      <c r="Y48" s="4"/>
      <c r="Z48" s="4"/>
      <c r="AC48" s="1"/>
      <c r="AD48" s="2" t="s">
        <v>15</v>
      </c>
      <c r="AE48" s="6" t="e">
        <f t="shared" ref="AE48:AK48" si="45">AE37/(AE24*8.76)</f>
        <v>#VALUE!</v>
      </c>
      <c r="AF48" t="e">
        <f t="shared" si="45"/>
        <v>#VALUE!</v>
      </c>
      <c r="AG48" s="6">
        <f t="shared" si="45"/>
        <v>0.24356579278836674</v>
      </c>
      <c r="AH48" s="6">
        <f t="shared" si="45"/>
        <v>0.87747541095890402</v>
      </c>
      <c r="AI48" s="6" t="e">
        <f t="shared" si="45"/>
        <v>#VALUE!</v>
      </c>
      <c r="AJ48" s="6">
        <f t="shared" si="45"/>
        <v>0.20165285799174773</v>
      </c>
      <c r="AK48" s="6">
        <f t="shared" si="45"/>
        <v>0.56806885766105031</v>
      </c>
      <c r="AL48" s="4"/>
      <c r="AM48" s="4"/>
      <c r="AN48" s="4"/>
      <c r="AQ48" s="1"/>
      <c r="AR48" s="2" t="s">
        <v>15</v>
      </c>
      <c r="AS48" s="6" t="e">
        <f t="shared" ref="AS48:AY48" si="46">AS37/(AS24*8.76)</f>
        <v>#VALUE!</v>
      </c>
      <c r="AT48" t="e">
        <f t="shared" si="46"/>
        <v>#VALUE!</v>
      </c>
      <c r="AU48" s="6">
        <f t="shared" si="46"/>
        <v>0.24356579278836674</v>
      </c>
      <c r="AV48" s="6">
        <f t="shared" si="46"/>
        <v>0.87747541095890402</v>
      </c>
      <c r="AW48" s="6" t="e">
        <f t="shared" si="46"/>
        <v>#VALUE!</v>
      </c>
      <c r="AX48" s="6">
        <f t="shared" si="46"/>
        <v>0.20158937382010045</v>
      </c>
      <c r="AY48" s="6">
        <f t="shared" si="46"/>
        <v>0.5681119804401249</v>
      </c>
      <c r="AZ48" s="4"/>
      <c r="BA48" s="4"/>
      <c r="BB48" s="4"/>
      <c r="BE48" s="1"/>
      <c r="CG48" s="1"/>
    </row>
    <row r="49" spans="1:85">
      <c r="A49" s="1"/>
      <c r="B49" s="2" t="s">
        <v>16</v>
      </c>
      <c r="C49" s="6" t="e">
        <f t="shared" ref="C49:I49" si="47">C38/(C25*8.76)</f>
        <v>#VALUE!</v>
      </c>
      <c r="D49" t="e">
        <f t="shared" si="47"/>
        <v>#VALUE!</v>
      </c>
      <c r="E49" s="6">
        <f t="shared" si="47"/>
        <v>0.24569970030585336</v>
      </c>
      <c r="F49" s="6">
        <f t="shared" si="47"/>
        <v>0.87947815829528153</v>
      </c>
      <c r="G49" s="6" t="e">
        <f t="shared" si="47"/>
        <v>#VALUE!</v>
      </c>
      <c r="H49" s="6">
        <f t="shared" si="47"/>
        <v>0.20266792237442924</v>
      </c>
      <c r="I49" s="6">
        <f t="shared" si="47"/>
        <v>0.50821394141234377</v>
      </c>
      <c r="O49" s="1"/>
      <c r="P49" s="2" t="s">
        <v>16</v>
      </c>
      <c r="Q49" s="6" t="e">
        <f t="shared" ref="Q49:W49" si="48">Q38/(Q25*8.76)</f>
        <v>#VALUE!</v>
      </c>
      <c r="R49" t="e">
        <f t="shared" si="48"/>
        <v>#VALUE!</v>
      </c>
      <c r="S49" s="6">
        <f t="shared" si="48"/>
        <v>0.24569970030585336</v>
      </c>
      <c r="T49" s="6">
        <f t="shared" si="48"/>
        <v>0.87947815829528153</v>
      </c>
      <c r="U49" s="6" t="e">
        <f t="shared" si="48"/>
        <v>#VALUE!</v>
      </c>
      <c r="V49" s="6">
        <f t="shared" si="48"/>
        <v>0.2026667808219178</v>
      </c>
      <c r="W49" s="6">
        <f t="shared" si="48"/>
        <v>0.50822181502747876</v>
      </c>
      <c r="AC49" s="1"/>
      <c r="AD49" s="2" t="s">
        <v>16</v>
      </c>
      <c r="AE49" s="6" t="e">
        <f t="shared" ref="AE49:AK49" si="49">AE38/(AE25*8.76)</f>
        <v>#VALUE!</v>
      </c>
      <c r="AF49" t="e">
        <f t="shared" si="49"/>
        <v>#VALUE!</v>
      </c>
      <c r="AG49" s="6">
        <f t="shared" si="49"/>
        <v>0.23437454457322859</v>
      </c>
      <c r="AH49" s="6">
        <f t="shared" si="49"/>
        <v>0.87791088201236323</v>
      </c>
      <c r="AI49" s="6" t="e">
        <f t="shared" si="49"/>
        <v>#VALUE!</v>
      </c>
      <c r="AJ49" s="6">
        <f t="shared" si="49"/>
        <v>0.20260890410958904</v>
      </c>
      <c r="AK49" s="6">
        <f t="shared" si="49"/>
        <v>0.50818625152345775</v>
      </c>
      <c r="AQ49" s="1"/>
      <c r="AR49" s="2" t="s">
        <v>16</v>
      </c>
      <c r="AS49" s="6" t="e">
        <f t="shared" ref="AS49:AY49" si="50">AS38/(AS25*8.76)</f>
        <v>#VALUE!</v>
      </c>
      <c r="AT49" t="e">
        <f t="shared" si="50"/>
        <v>#VALUE!</v>
      </c>
      <c r="AU49" s="6">
        <f t="shared" si="50"/>
        <v>0.24569970030585336</v>
      </c>
      <c r="AV49" s="6">
        <f t="shared" si="50"/>
        <v>0.87947815829528153</v>
      </c>
      <c r="AW49" s="6" t="e">
        <f t="shared" si="50"/>
        <v>#VALUE!</v>
      </c>
      <c r="AX49" s="6">
        <f t="shared" si="50"/>
        <v>0.20266643835616438</v>
      </c>
      <c r="AY49" s="6">
        <f t="shared" si="50"/>
        <v>0.50822324659386686</v>
      </c>
      <c r="BE49" s="1"/>
      <c r="CG49" s="1"/>
    </row>
    <row r="50" spans="1:85">
      <c r="A50" s="1"/>
      <c r="B50" s="2" t="s">
        <v>17</v>
      </c>
      <c r="C50" s="6">
        <f t="shared" ref="C50:I50" si="51">C39/(C26*8.76)</f>
        <v>0.87091994518342053</v>
      </c>
      <c r="D50" t="e">
        <f t="shared" si="51"/>
        <v>#VALUE!</v>
      </c>
      <c r="E50" s="6">
        <f t="shared" si="51"/>
        <v>0.21026903626390098</v>
      </c>
      <c r="F50" s="6">
        <f t="shared" si="51"/>
        <v>0.89228569178082184</v>
      </c>
      <c r="G50" s="6" t="e">
        <f t="shared" si="51"/>
        <v>#VALUE!</v>
      </c>
      <c r="H50" s="6">
        <f t="shared" si="51"/>
        <v>0.20258142826525691</v>
      </c>
      <c r="I50" s="6">
        <f t="shared" si="51"/>
        <v>0.56479754561638762</v>
      </c>
      <c r="O50" s="1"/>
      <c r="P50" s="2" t="s">
        <v>17</v>
      </c>
      <c r="Q50" s="6">
        <f t="shared" ref="Q50:W50" si="52">Q39/(Q26*8.76)</f>
        <v>0.87091994518342053</v>
      </c>
      <c r="R50" t="e">
        <f t="shared" si="52"/>
        <v>#VALUE!</v>
      </c>
      <c r="S50" s="6">
        <f t="shared" si="52"/>
        <v>0.21026903626390098</v>
      </c>
      <c r="T50" s="6">
        <f t="shared" si="52"/>
        <v>0.89228569178082184</v>
      </c>
      <c r="U50" s="6" t="e">
        <f t="shared" si="52"/>
        <v>#VALUE!</v>
      </c>
      <c r="V50" s="6">
        <f t="shared" si="52"/>
        <v>0.20252983664041244</v>
      </c>
      <c r="W50" s="6">
        <f t="shared" si="52"/>
        <v>0.56482680198436863</v>
      </c>
      <c r="AC50" s="1"/>
      <c r="AD50" s="2" t="s">
        <v>17</v>
      </c>
      <c r="AE50" s="6">
        <f t="shared" ref="AE50:AK50" si="53">AE39/(AE26*8.76)</f>
        <v>0.87091994518342053</v>
      </c>
      <c r="AF50" t="e">
        <f t="shared" si="53"/>
        <v>#VALUE!</v>
      </c>
      <c r="AG50" s="6">
        <f t="shared" si="53"/>
        <v>0.21026903626390098</v>
      </c>
      <c r="AH50" s="6">
        <f t="shared" si="53"/>
        <v>0.89228569178082184</v>
      </c>
      <c r="AI50" s="6" t="e">
        <f t="shared" si="53"/>
        <v>#VALUE!</v>
      </c>
      <c r="AJ50" s="6">
        <f t="shared" si="53"/>
        <v>0.20258893988914883</v>
      </c>
      <c r="AK50" s="6">
        <f t="shared" si="53"/>
        <v>0.56479328583249133</v>
      </c>
      <c r="AQ50" s="1"/>
      <c r="AR50" s="2" t="s">
        <v>17</v>
      </c>
      <c r="AS50" s="6">
        <f t="shared" ref="AS50:AY50" si="54">AS39/(AS26*8.76)</f>
        <v>0.91255127335495123</v>
      </c>
      <c r="AT50" t="e">
        <f t="shared" si="54"/>
        <v>#VALUE!</v>
      </c>
      <c r="AU50" s="6">
        <f t="shared" si="54"/>
        <v>0.24609050203950167</v>
      </c>
      <c r="AV50" s="6">
        <f t="shared" si="54"/>
        <v>0.89405843150684938</v>
      </c>
      <c r="AW50" s="6" t="e">
        <f t="shared" si="54"/>
        <v>#VALUE!</v>
      </c>
      <c r="AX50" s="6">
        <f t="shared" si="54"/>
        <v>0.20243463930088215</v>
      </c>
      <c r="AY50" s="6">
        <f t="shared" si="54"/>
        <v>0.56491616210045659</v>
      </c>
      <c r="BE50" s="1"/>
      <c r="CG50" s="1"/>
    </row>
    <row r="51" spans="1:85">
      <c r="A51" s="1"/>
      <c r="B51" s="2" t="s">
        <v>18</v>
      </c>
      <c r="C51" t="e">
        <f t="shared" ref="C51:I51" si="55">C40/(C27*8.76)</f>
        <v>#VALUE!</v>
      </c>
      <c r="D51" t="e">
        <f t="shared" si="55"/>
        <v>#VALUE!</v>
      </c>
      <c r="E51" s="6">
        <f t="shared" si="55"/>
        <v>0.19739330659942209</v>
      </c>
      <c r="F51" s="6">
        <f t="shared" si="55"/>
        <v>0.86087529401942431</v>
      </c>
      <c r="G51" s="6" t="e">
        <f t="shared" si="55"/>
        <v>#VALUE!</v>
      </c>
      <c r="H51" s="6">
        <f t="shared" si="55"/>
        <v>0.20216557630543558</v>
      </c>
      <c r="I51" s="6">
        <f t="shared" si="55"/>
        <v>0.49463290444952612</v>
      </c>
      <c r="O51" s="1"/>
      <c r="P51" s="2" t="s">
        <v>18</v>
      </c>
      <c r="Q51" t="e">
        <f t="shared" ref="Q51:W51" si="56">Q40/(Q27*8.76)</f>
        <v>#VALUE!</v>
      </c>
      <c r="R51" t="e">
        <f t="shared" si="56"/>
        <v>#VALUE!</v>
      </c>
      <c r="S51" s="6">
        <f t="shared" si="56"/>
        <v>0.19739330659942209</v>
      </c>
      <c r="T51" s="6">
        <f t="shared" si="56"/>
        <v>0.86087529401942431</v>
      </c>
      <c r="U51" s="6" t="e">
        <f t="shared" si="56"/>
        <v>#VALUE!</v>
      </c>
      <c r="V51" s="6">
        <f t="shared" si="56"/>
        <v>0.20215366820469485</v>
      </c>
      <c r="W51" s="6">
        <f t="shared" si="56"/>
        <v>0.49464865000140767</v>
      </c>
      <c r="AC51" s="1"/>
      <c r="AD51" s="2" t="s">
        <v>18</v>
      </c>
      <c r="AE51" t="e">
        <f t="shared" ref="AE51:AK51" si="57">AE40/(AE27*8.76)</f>
        <v>#VALUE!</v>
      </c>
      <c r="AF51" t="e">
        <f t="shared" si="57"/>
        <v>#VALUE!</v>
      </c>
      <c r="AG51" s="6">
        <f t="shared" si="57"/>
        <v>0.16158547397860104</v>
      </c>
      <c r="AH51" s="6">
        <f t="shared" si="57"/>
        <v>0.8465188127853881</v>
      </c>
      <c r="AI51" s="6" t="e">
        <f t="shared" si="57"/>
        <v>#VALUE!</v>
      </c>
      <c r="AJ51" s="6">
        <f t="shared" si="57"/>
        <v>0.20217252269749378</v>
      </c>
      <c r="AK51" s="6">
        <f t="shared" si="57"/>
        <v>0.49472773331665759</v>
      </c>
      <c r="AQ51" s="1"/>
      <c r="AR51" s="2" t="s">
        <v>18</v>
      </c>
      <c r="AS51" t="e">
        <f t="shared" ref="AS51:AY51" si="58">AS40/(AS27*8.76)</f>
        <v>#VALUE!</v>
      </c>
      <c r="AT51" t="e">
        <f t="shared" si="58"/>
        <v>#VALUE!</v>
      </c>
      <c r="AU51" s="6">
        <f t="shared" si="58"/>
        <v>0.19739330659942209</v>
      </c>
      <c r="AV51" s="6">
        <f t="shared" si="58"/>
        <v>0.86087529401942431</v>
      </c>
      <c r="AW51" s="6" t="e">
        <f t="shared" si="58"/>
        <v>#VALUE!</v>
      </c>
      <c r="AX51" s="6">
        <f t="shared" si="58"/>
        <v>0.2021249834979382</v>
      </c>
      <c r="AY51" s="6">
        <f t="shared" si="58"/>
        <v>0.49468651927022667</v>
      </c>
      <c r="BE51" s="1"/>
      <c r="CG51" s="1"/>
    </row>
    <row r="52" spans="1:85">
      <c r="A52" s="1"/>
      <c r="B52" s="2" t="s">
        <v>19</v>
      </c>
      <c r="C52" t="e">
        <f t="shared" ref="C52:I52" si="59">C41/(C28*8.76)</f>
        <v>#VALUE!</v>
      </c>
      <c r="D52" t="e">
        <f t="shared" si="59"/>
        <v>#VALUE!</v>
      </c>
      <c r="E52" s="6">
        <f t="shared" si="59"/>
        <v>0.15556508499036983</v>
      </c>
      <c r="F52" s="6" t="e">
        <f t="shared" si="59"/>
        <v>#DIV/0!</v>
      </c>
      <c r="G52" s="6">
        <f t="shared" si="59"/>
        <v>0.80139828767123289</v>
      </c>
      <c r="H52" s="6">
        <f t="shared" si="59"/>
        <v>0.20054479070555092</v>
      </c>
      <c r="I52" s="6">
        <f t="shared" si="59"/>
        <v>0.54610469297361097</v>
      </c>
      <c r="O52" s="1"/>
      <c r="P52" s="2" t="s">
        <v>19</v>
      </c>
      <c r="Q52" t="e">
        <f t="shared" ref="Q52:W52" si="60">Q41/(Q28*8.76)</f>
        <v>#VALUE!</v>
      </c>
      <c r="R52" t="e">
        <f t="shared" si="60"/>
        <v>#VALUE!</v>
      </c>
      <c r="S52" s="6">
        <f t="shared" si="60"/>
        <v>0.15556508499036983</v>
      </c>
      <c r="T52" s="6" t="e">
        <f t="shared" si="60"/>
        <v>#DIV/0!</v>
      </c>
      <c r="U52" s="6">
        <f t="shared" si="60"/>
        <v>0.80139828767123289</v>
      </c>
      <c r="V52" s="6">
        <f t="shared" si="60"/>
        <v>0.20062273093813113</v>
      </c>
      <c r="W52" s="6">
        <f t="shared" si="60"/>
        <v>0.54607576628962318</v>
      </c>
      <c r="AC52" s="1"/>
      <c r="AD52" s="2" t="s">
        <v>19</v>
      </c>
      <c r="AE52" t="e">
        <f t="shared" ref="AE52:AK52" si="61">AE41/(AE28*8.76)</f>
        <v>#VALUE!</v>
      </c>
      <c r="AF52" t="e">
        <f t="shared" si="61"/>
        <v>#VALUE!</v>
      </c>
      <c r="AG52" s="6">
        <f t="shared" si="61"/>
        <v>0.15556508499036983</v>
      </c>
      <c r="AH52" s="6" t="e">
        <f t="shared" si="61"/>
        <v>#DIV/0!</v>
      </c>
      <c r="AI52" s="6">
        <f t="shared" si="61"/>
        <v>0.80139828767123289</v>
      </c>
      <c r="AJ52" s="6">
        <f t="shared" si="61"/>
        <v>0.20054479070555092</v>
      </c>
      <c r="AK52" s="6">
        <f t="shared" si="61"/>
        <v>0.54610469297361097</v>
      </c>
      <c r="AQ52" s="1"/>
      <c r="AR52" s="2" t="s">
        <v>19</v>
      </c>
      <c r="AS52" t="e">
        <f t="shared" ref="AS52:AY52" si="62">AS41/(AS28*8.76)</f>
        <v>#VALUE!</v>
      </c>
      <c r="AT52" t="e">
        <f t="shared" si="62"/>
        <v>#VALUE!</v>
      </c>
      <c r="AU52" s="6">
        <f t="shared" si="62"/>
        <v>0.15556508499036983</v>
      </c>
      <c r="AV52" s="6" t="e">
        <f t="shared" si="62"/>
        <v>#DIV/0!</v>
      </c>
      <c r="AW52" s="6">
        <f t="shared" si="62"/>
        <v>0.80139828767123289</v>
      </c>
      <c r="AX52" s="6">
        <f t="shared" si="62"/>
        <v>0.20070351867398931</v>
      </c>
      <c r="AY52" s="6">
        <f t="shared" si="62"/>
        <v>0.54604577674626564</v>
      </c>
      <c r="BE52" s="1"/>
      <c r="CG52" s="1"/>
    </row>
    <row r="53" spans="1:85">
      <c r="A53" s="1"/>
      <c r="O53" s="1"/>
      <c r="AC53" s="1"/>
      <c r="AQ53" s="1"/>
      <c r="BE53" s="1"/>
      <c r="CG53" s="1"/>
    </row>
    <row r="54" spans="1:85">
      <c r="A54" s="1"/>
      <c r="D54" t="s">
        <v>37</v>
      </c>
      <c r="E54" s="9">
        <f>SUM(C32:I41)</f>
        <v>6799.8106090000001</v>
      </c>
      <c r="F54" s="4" t="s">
        <v>38</v>
      </c>
      <c r="O54" s="1"/>
      <c r="R54" t="s">
        <v>37</v>
      </c>
      <c r="S54">
        <f>SUM(Q32:W41)</f>
        <v>6799.8106120000002</v>
      </c>
      <c r="T54" s="4" t="s">
        <v>38</v>
      </c>
      <c r="AC54" s="1"/>
      <c r="AF54" t="s">
        <v>37</v>
      </c>
      <c r="AG54">
        <f>SUM(AE32:AK41)</f>
        <v>6799.8106129999987</v>
      </c>
      <c r="AH54" s="4" t="s">
        <v>38</v>
      </c>
      <c r="AQ54" s="1"/>
      <c r="AT54" t="s">
        <v>37</v>
      </c>
      <c r="AU54">
        <f>SUM(AS32:AY41)</f>
        <v>6799.8106069999994</v>
      </c>
      <c r="AV54" s="4" t="s">
        <v>38</v>
      </c>
      <c r="BE54" s="1"/>
      <c r="CG54" s="1"/>
    </row>
    <row r="55" spans="1:85">
      <c r="A55" s="1"/>
      <c r="D55" t="s">
        <v>39</v>
      </c>
      <c r="E55" s="9">
        <f>SUM(E32:E41)</f>
        <v>1686.8662790000001</v>
      </c>
      <c r="F55" s="4" t="s">
        <v>38</v>
      </c>
      <c r="O55" s="1"/>
      <c r="R55" t="s">
        <v>39</v>
      </c>
      <c r="S55">
        <f>SUM(S32:S41)</f>
        <v>1788.6501410000001</v>
      </c>
      <c r="T55" s="4" t="s">
        <v>38</v>
      </c>
      <c r="AC55" s="1"/>
      <c r="AF55" t="s">
        <v>39</v>
      </c>
      <c r="AG55">
        <f>SUM(AG32:AG41)</f>
        <v>1672.7544110000001</v>
      </c>
      <c r="AH55" s="4" t="s">
        <v>38</v>
      </c>
      <c r="AQ55" s="1"/>
      <c r="AT55" t="s">
        <v>39</v>
      </c>
      <c r="AU55">
        <f>SUM(AU32:AU41)</f>
        <v>2024.6952410000001</v>
      </c>
      <c r="AV55" s="4" t="s">
        <v>38</v>
      </c>
      <c r="BE55" s="1"/>
      <c r="CG55" s="1"/>
    </row>
    <row r="56" spans="1:85">
      <c r="A56" s="1"/>
      <c r="D56" t="s">
        <v>40</v>
      </c>
      <c r="E56">
        <f>E55/E54</f>
        <v>0.24807547974458594</v>
      </c>
      <c r="O56" s="1"/>
      <c r="R56" t="s">
        <v>40</v>
      </c>
      <c r="S56">
        <f>S55/S54</f>
        <v>0.2630441115291462</v>
      </c>
      <c r="AC56" s="1"/>
      <c r="AF56" t="s">
        <v>40</v>
      </c>
      <c r="AG56">
        <f>AG55/AG54</f>
        <v>0.24600014709262616</v>
      </c>
      <c r="AQ56" s="1"/>
      <c r="AT56" t="s">
        <v>40</v>
      </c>
      <c r="AU56">
        <f>AU55/AU54</f>
        <v>0.29775759326527373</v>
      </c>
      <c r="BE56" s="1"/>
      <c r="CG56" s="1"/>
    </row>
    <row r="57" spans="1:85">
      <c r="A57" s="1"/>
      <c r="D57" t="s">
        <v>41</v>
      </c>
      <c r="E57">
        <v>0.66</v>
      </c>
      <c r="F57" t="s">
        <v>42</v>
      </c>
      <c r="O57" s="1"/>
      <c r="R57" t="s">
        <v>41</v>
      </c>
      <c r="S57">
        <v>0.66</v>
      </c>
      <c r="T57" t="s">
        <v>42</v>
      </c>
      <c r="AC57" s="1"/>
      <c r="AF57" t="s">
        <v>41</v>
      </c>
      <c r="AG57">
        <v>0.66</v>
      </c>
      <c r="AH57" t="s">
        <v>42</v>
      </c>
      <c r="AQ57" s="1"/>
      <c r="AT57" t="s">
        <v>41</v>
      </c>
      <c r="AU57">
        <v>0.66</v>
      </c>
      <c r="AV57" t="s">
        <v>42</v>
      </c>
      <c r="BE57" s="1"/>
      <c r="CG57" s="1"/>
    </row>
    <row r="58" spans="1:85">
      <c r="A58" s="1"/>
      <c r="D58" t="s">
        <v>43</v>
      </c>
      <c r="E58" s="7">
        <f>E55*E57</f>
        <v>1113.3317441400002</v>
      </c>
      <c r="F58" t="s">
        <v>44</v>
      </c>
      <c r="O58" s="1"/>
      <c r="R58" t="s">
        <v>43</v>
      </c>
      <c r="S58" s="7">
        <f>S55*S57</f>
        <v>1180.5090930600002</v>
      </c>
      <c r="T58" t="s">
        <v>44</v>
      </c>
      <c r="AC58" s="1"/>
      <c r="AF58" t="s">
        <v>43</v>
      </c>
      <c r="AG58" s="7">
        <f>AG55*AG57</f>
        <v>1104.0179112600001</v>
      </c>
      <c r="AH58" t="s">
        <v>44</v>
      </c>
      <c r="AQ58" s="1"/>
      <c r="AT58" t="s">
        <v>43</v>
      </c>
      <c r="AU58" s="7">
        <f>AU55*AU57</f>
        <v>1336.29885906</v>
      </c>
      <c r="AV58" t="s">
        <v>44</v>
      </c>
      <c r="BE58" s="1"/>
      <c r="CG58" s="1"/>
    </row>
    <row r="59" spans="1:85">
      <c r="A59" s="1"/>
      <c r="D59" t="s">
        <v>45</v>
      </c>
      <c r="E59" s="5">
        <f>E58/E54</f>
        <v>0.16372981663142674</v>
      </c>
      <c r="F59" t="s">
        <v>46</v>
      </c>
      <c r="O59" s="1"/>
      <c r="R59" t="s">
        <v>45</v>
      </c>
      <c r="S59" s="5">
        <f>S58/S54</f>
        <v>0.17360911360923653</v>
      </c>
      <c r="T59" t="s">
        <v>46</v>
      </c>
      <c r="AC59" s="1"/>
      <c r="AF59" t="s">
        <v>45</v>
      </c>
      <c r="AG59" s="5">
        <f>AG58/AG54</f>
        <v>0.16236009708113328</v>
      </c>
      <c r="AH59" t="s">
        <v>46</v>
      </c>
      <c r="AQ59" s="1"/>
      <c r="AT59" t="s">
        <v>45</v>
      </c>
      <c r="AU59" s="5">
        <f>AU58/AU54</f>
        <v>0.19652001155508067</v>
      </c>
      <c r="AV59" t="s">
        <v>46</v>
      </c>
      <c r="BE59" s="1"/>
      <c r="CG59" s="1"/>
    </row>
    <row r="60" spans="1:85">
      <c r="A60" s="1"/>
      <c r="O60" s="1"/>
    </row>
    <row r="61" spans="1:85">
      <c r="A61" s="1"/>
      <c r="E61">
        <f>SUM(M32:M41)/'0. Current system'!$E58</f>
        <v>0.31175003756141884</v>
      </c>
      <c r="O61" s="1"/>
      <c r="S61">
        <f>SUM(AA32:AA41)/'0. Current system'!$E58</f>
        <v>0.33056073002511366</v>
      </c>
      <c r="AG61">
        <f>SUM(AO32:AO41)/'0. Current system'!$E58</f>
        <v>0.30914202088942172</v>
      </c>
      <c r="AU61">
        <f>SUM(BC32:BC41)/'0. Current system'!$E58</f>
        <v>0.37418426421231216</v>
      </c>
    </row>
    <row r="62" spans="1:85">
      <c r="A62" s="1"/>
      <c r="O6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0438-0DBC-4599-93B1-5E2F0B211381}">
  <sheetPr>
    <tabColor theme="5" tint="-0.249977111117893"/>
  </sheetPr>
  <dimension ref="D1:H12"/>
  <sheetViews>
    <sheetView workbookViewId="0">
      <selection activeCell="D3" sqref="D3:D6"/>
    </sheetView>
  </sheetViews>
  <sheetFormatPr defaultRowHeight="14.75"/>
  <cols>
    <col min="5" max="5" width="26.26953125" customWidth="1"/>
  </cols>
  <sheetData>
    <row r="1" spans="4:8">
      <c r="E1" t="s">
        <v>160</v>
      </c>
    </row>
    <row r="2" spans="4:8">
      <c r="F2" t="s">
        <v>150</v>
      </c>
      <c r="H2" t="s">
        <v>151</v>
      </c>
    </row>
    <row r="3" spans="4:8">
      <c r="D3" s="42">
        <v>1.1000000000000001</v>
      </c>
      <c r="E3" t="s">
        <v>147</v>
      </c>
      <c r="F3" s="43">
        <f>'1. Diesel, no storage'!G3</f>
        <v>118.9</v>
      </c>
      <c r="G3" s="14" t="s">
        <v>146</v>
      </c>
      <c r="H3" s="14" t="s">
        <v>152</v>
      </c>
    </row>
    <row r="4" spans="4:8">
      <c r="D4" s="42">
        <v>1.2</v>
      </c>
      <c r="E4" t="s">
        <v>148</v>
      </c>
      <c r="F4" s="43">
        <f>'1. Diesel, no storage'!U3</f>
        <v>122</v>
      </c>
      <c r="G4" s="14" t="s">
        <v>146</v>
      </c>
      <c r="H4" s="23">
        <f>(F4-F$3)/F$3</f>
        <v>2.607232968881408E-2</v>
      </c>
    </row>
    <row r="5" spans="4:8">
      <c r="D5" s="42">
        <v>1.3</v>
      </c>
      <c r="E5" t="s">
        <v>139</v>
      </c>
      <c r="F5" s="43">
        <f>'1. Diesel, no storage'!AI3</f>
        <v>135.9</v>
      </c>
      <c r="G5" s="14" t="s">
        <v>146</v>
      </c>
      <c r="H5" s="23">
        <f>(F5-F$3)/F$3</f>
        <v>0.14297729184188393</v>
      </c>
    </row>
    <row r="6" spans="4:8">
      <c r="D6" s="42">
        <v>1.4</v>
      </c>
      <c r="E6" t="s">
        <v>149</v>
      </c>
      <c r="F6" s="43">
        <f>'1. Diesel, no storage'!AW3</f>
        <v>130</v>
      </c>
      <c r="G6" s="14" t="s">
        <v>146</v>
      </c>
      <c r="H6" s="23">
        <f>(F6-F$3)/F$3</f>
        <v>9.3355761143818286E-2</v>
      </c>
    </row>
    <row r="7" spans="4:8">
      <c r="D7" s="42"/>
      <c r="F7" s="43"/>
      <c r="G7" s="14"/>
      <c r="H7" s="23"/>
    </row>
    <row r="8" spans="4:8">
      <c r="D8" s="42"/>
      <c r="F8" s="43"/>
      <c r="G8" s="14"/>
      <c r="H8" s="23"/>
    </row>
    <row r="9" spans="4:8">
      <c r="D9" s="42"/>
      <c r="F9" s="43"/>
      <c r="G9" s="14"/>
      <c r="H9" s="23"/>
    </row>
    <row r="10" spans="4:8">
      <c r="D10" s="42"/>
      <c r="F10" s="43"/>
      <c r="G10" s="14"/>
      <c r="H10" s="23"/>
    </row>
    <row r="11" spans="4:8">
      <c r="D11" s="42"/>
      <c r="F11" s="43"/>
      <c r="G11" s="14"/>
      <c r="H11" s="23"/>
    </row>
    <row r="12" spans="4:8">
      <c r="D12" s="42"/>
      <c r="F12" s="43"/>
      <c r="G12" s="14"/>
      <c r="H12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7318-9717-4EF9-8515-091427BC80B4}">
  <sheetPr>
    <tabColor theme="8" tint="0.39997558519241921"/>
  </sheetPr>
  <dimension ref="A1:DK62"/>
  <sheetViews>
    <sheetView topLeftCell="BX1" zoomScale="80" zoomScaleNormal="80" workbookViewId="0">
      <selection activeCell="A58" sqref="A58"/>
    </sheetView>
  </sheetViews>
  <sheetFormatPr defaultRowHeight="14.75"/>
  <cols>
    <col min="2" max="2" width="10.1328125" customWidth="1"/>
    <col min="6" max="6" width="10.26953125" customWidth="1"/>
    <col min="12" max="12" width="9.58984375" customWidth="1"/>
    <col min="13" max="13" width="9.1796875" customWidth="1"/>
    <col min="17" max="17" width="9.58984375" customWidth="1"/>
    <col min="18" max="18" width="10.81640625" customWidth="1"/>
    <col min="20" max="20" width="11.1328125" customWidth="1"/>
    <col min="23" max="23" width="8.7265625" bestFit="1" customWidth="1"/>
    <col min="24" max="24" width="10.40625" customWidth="1"/>
    <col min="25" max="25" width="8.7265625" bestFit="1" customWidth="1"/>
    <col min="26" max="26" width="11.86328125" customWidth="1"/>
    <col min="27" max="27" width="9.1328125" bestFit="1" customWidth="1"/>
    <col min="30" max="30" width="10.04296875" customWidth="1"/>
    <col min="31" max="33" width="9.86328125" customWidth="1"/>
    <col min="35" max="35" width="13.7265625" customWidth="1"/>
    <col min="36" max="36" width="14" customWidth="1"/>
    <col min="38" max="38" width="10.453125" customWidth="1"/>
    <col min="42" max="42" width="10.36328125" customWidth="1"/>
    <col min="52" max="52" width="11.26953125" customWidth="1"/>
    <col min="55" max="55" width="8.81640625" bestFit="1" customWidth="1"/>
    <col min="56" max="56" width="10.6796875" customWidth="1"/>
    <col min="57" max="57" width="8.81640625" bestFit="1" customWidth="1"/>
    <col min="58" max="59" width="9.2265625" bestFit="1" customWidth="1"/>
    <col min="62" max="62" width="10.1328125" customWidth="1"/>
    <col min="63" max="63" width="9.81640625" customWidth="1"/>
    <col min="64" max="64" width="9.7265625" customWidth="1"/>
    <col min="67" max="67" width="11.953125" customWidth="1"/>
    <col min="68" max="68" width="13.08984375" customWidth="1"/>
    <col min="70" max="70" width="10.453125" customWidth="1"/>
    <col min="74" max="74" width="10.36328125" customWidth="1"/>
    <col min="80" max="80" width="9.7265625" customWidth="1"/>
    <col min="81" max="81" width="9.81640625" customWidth="1"/>
    <col min="85" max="85" width="13" customWidth="1"/>
    <col min="86" max="86" width="10.54296875" customWidth="1"/>
    <col min="88" max="88" width="11.1328125" customWidth="1"/>
    <col min="98" max="98" width="10.2265625" customWidth="1"/>
    <col min="99" max="99" width="10.58984375" customWidth="1"/>
    <col min="102" max="102" width="11.1328125" customWidth="1"/>
    <col min="105" max="108" width="8.7265625" bestFit="1" customWidth="1"/>
    <col min="109" max="109" width="9.1328125" bestFit="1" customWidth="1"/>
  </cols>
  <sheetData>
    <row r="1" spans="1:115">
      <c r="A1" s="1"/>
      <c r="B1" s="1" t="s">
        <v>136</v>
      </c>
      <c r="C1" s="1"/>
      <c r="D1" s="1"/>
      <c r="E1" s="1"/>
      <c r="F1" s="1"/>
      <c r="G1" s="1" t="s">
        <v>197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81</v>
      </c>
      <c r="U1" s="1"/>
      <c r="V1" s="1"/>
      <c r="W1" s="1" t="s">
        <v>198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 t="s">
        <v>144</v>
      </c>
      <c r="AM1" s="1"/>
      <c r="AN1" s="1"/>
      <c r="AO1" s="1"/>
      <c r="AP1" s="1"/>
      <c r="AQ1" s="1"/>
      <c r="AR1" s="1"/>
      <c r="AS1" s="1" t="s">
        <v>201</v>
      </c>
      <c r="AT1" s="1"/>
      <c r="AU1" s="1"/>
      <c r="AV1" s="1"/>
      <c r="AY1" s="1"/>
      <c r="AZ1" s="1" t="s">
        <v>81</v>
      </c>
      <c r="BA1" s="1"/>
      <c r="BB1" s="1"/>
      <c r="BC1" s="1" t="s">
        <v>204</v>
      </c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 t="s">
        <v>81</v>
      </c>
      <c r="BS1" s="1"/>
      <c r="BT1" s="1"/>
      <c r="BU1" s="1" t="s">
        <v>205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 t="s">
        <v>81</v>
      </c>
      <c r="CK1" s="1"/>
      <c r="CL1" s="1"/>
      <c r="CM1" s="1" t="s">
        <v>210</v>
      </c>
      <c r="CN1" s="1"/>
      <c r="CO1" s="1"/>
      <c r="CP1" s="1"/>
      <c r="CQ1" s="1"/>
      <c r="CR1" s="1"/>
      <c r="CS1" s="1"/>
      <c r="CT1" s="1"/>
      <c r="CU1" s="1"/>
      <c r="CV1" s="1"/>
      <c r="CW1" s="1"/>
      <c r="CX1" s="1" t="s">
        <v>81</v>
      </c>
      <c r="CY1" s="1"/>
      <c r="CZ1" s="1"/>
      <c r="DA1" s="1" t="s">
        <v>209</v>
      </c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>
      <c r="A2" s="1"/>
      <c r="B2" s="13" t="s">
        <v>202</v>
      </c>
      <c r="D2">
        <v>2.1</v>
      </c>
      <c r="F2" t="s">
        <v>35</v>
      </c>
      <c r="G2" t="s">
        <v>36</v>
      </c>
      <c r="H2" t="s">
        <v>104</v>
      </c>
      <c r="I2" t="s">
        <v>171</v>
      </c>
      <c r="S2" s="1"/>
      <c r="T2" s="13" t="s">
        <v>202</v>
      </c>
      <c r="V2" t="s">
        <v>199</v>
      </c>
      <c r="X2" t="s">
        <v>35</v>
      </c>
      <c r="Y2" t="s">
        <v>36</v>
      </c>
      <c r="AK2" s="1"/>
      <c r="AL2" s="13" t="s">
        <v>202</v>
      </c>
      <c r="AN2">
        <v>2.2999999999999998</v>
      </c>
      <c r="AP2" t="s">
        <v>35</v>
      </c>
      <c r="AQ2" t="s">
        <v>36</v>
      </c>
      <c r="AY2" s="1"/>
      <c r="AZ2" s="13" t="s">
        <v>202</v>
      </c>
      <c r="BA2">
        <v>2.4</v>
      </c>
      <c r="BB2" t="s">
        <v>142</v>
      </c>
      <c r="BQ2" s="1"/>
      <c r="BR2" s="13" t="s">
        <v>202</v>
      </c>
      <c r="BU2" t="s">
        <v>143</v>
      </c>
      <c r="CI2" s="1"/>
      <c r="CJ2" s="13" t="s">
        <v>207</v>
      </c>
      <c r="CL2" t="s">
        <v>141</v>
      </c>
      <c r="CW2" s="1"/>
      <c r="CX2" s="13" t="s">
        <v>207</v>
      </c>
      <c r="CY2">
        <v>2.7</v>
      </c>
      <c r="DA2" t="s">
        <v>145</v>
      </c>
      <c r="DK2" s="1"/>
    </row>
    <row r="3" spans="1:115">
      <c r="A3" s="1"/>
      <c r="B3">
        <v>4</v>
      </c>
      <c r="C3" t="s">
        <v>33</v>
      </c>
      <c r="D3" s="18" t="s">
        <v>140</v>
      </c>
      <c r="E3" s="18"/>
      <c r="F3" t="s">
        <v>101</v>
      </c>
      <c r="G3">
        <v>92.2</v>
      </c>
      <c r="H3" s="20">
        <f>(G3-'0. Current system'!$G3)/'0. Current system'!$G3</f>
        <v>-0.49617486338797812</v>
      </c>
      <c r="I3" s="20">
        <f>(G3-'1. Diesel, no storage'!$G3)/'1. Diesel, no storage'!$G3</f>
        <v>-0.22455845248107656</v>
      </c>
      <c r="L3" t="s">
        <v>241</v>
      </c>
      <c r="S3" s="1"/>
      <c r="T3">
        <v>4</v>
      </c>
      <c r="U3" t="s">
        <v>33</v>
      </c>
      <c r="V3">
        <v>2.2000000000000002</v>
      </c>
      <c r="X3" t="s">
        <v>101</v>
      </c>
      <c r="Y3">
        <v>93.8</v>
      </c>
      <c r="Z3" s="23">
        <f>(Y3-'0. Current system'!$G3)/'0. Current system'!$G3</f>
        <v>-0.48743169398907105</v>
      </c>
      <c r="AA3" s="20">
        <f>(Y3-'1. Diesel, no storage'!$G3)/'1. Diesel, no storage'!$G3</f>
        <v>-0.21110176619007576</v>
      </c>
      <c r="AB3" s="20">
        <f>(Y3-$G3)/$G3</f>
        <v>1.7353579175704927E-2</v>
      </c>
      <c r="AD3" t="s">
        <v>241</v>
      </c>
      <c r="AK3" s="1"/>
      <c r="AL3">
        <v>4</v>
      </c>
      <c r="AM3" t="s">
        <v>33</v>
      </c>
      <c r="AP3" t="s">
        <v>101</v>
      </c>
      <c r="AQ3">
        <v>95.3</v>
      </c>
      <c r="AR3" s="23">
        <f>(AQ3-'0. Current system'!$G3)/'0. Current system'!$G3</f>
        <v>-0.47923497267759563</v>
      </c>
      <c r="AS3" s="20">
        <f>(AQ3-'1. Diesel, no storage'!$G3)/'1. Diesel, no storage'!$G3</f>
        <v>-0.19848612279226246</v>
      </c>
      <c r="AT3" s="20">
        <f>(AQ3-$G3)/$G3</f>
        <v>3.3622559652928354E-2</v>
      </c>
      <c r="AV3" t="s">
        <v>241</v>
      </c>
      <c r="AY3" s="1"/>
      <c r="AZ3">
        <v>6</v>
      </c>
      <c r="BA3" t="s">
        <v>33</v>
      </c>
      <c r="BD3" t="s">
        <v>35</v>
      </c>
      <c r="BE3">
        <v>90.1</v>
      </c>
      <c r="BF3" s="23">
        <f>(BE3-'0. Current system'!$G3)/'0. Current system'!$G3</f>
        <v>-0.50765027322404377</v>
      </c>
      <c r="BG3" s="20">
        <f>(BE3-'1. Diesel, no storage'!$G3)/'1. Diesel, no storage'!$G3</f>
        <v>-0.24222035323801522</v>
      </c>
      <c r="BH3" s="20">
        <f>(BE3-$G3)/$G3</f>
        <v>-2.277657266811289E-2</v>
      </c>
      <c r="BJ3" t="s">
        <v>241</v>
      </c>
      <c r="BQ3" s="1"/>
      <c r="BR3">
        <v>2</v>
      </c>
      <c r="BS3" t="s">
        <v>33</v>
      </c>
      <c r="BT3">
        <v>2.5</v>
      </c>
      <c r="BV3" t="s">
        <v>35</v>
      </c>
      <c r="BW3">
        <v>98.9</v>
      </c>
      <c r="BX3" s="23">
        <f>(BW3-'0. Current system'!$G3)/'0. Current system'!$G3</f>
        <v>-0.45956284153005461</v>
      </c>
      <c r="BY3" s="20">
        <f>(BW3-'1. Diesel, no storage'!$G3)/'1. Diesel, no storage'!$G3</f>
        <v>-0.16820857863751051</v>
      </c>
      <c r="BZ3" s="20">
        <f>(BW3-$G3)/$G3</f>
        <v>7.266811279826467E-2</v>
      </c>
      <c r="CB3" t="s">
        <v>241</v>
      </c>
      <c r="CI3" s="1"/>
      <c r="CJ3">
        <v>6</v>
      </c>
      <c r="CK3" t="s">
        <v>33</v>
      </c>
      <c r="CL3">
        <v>2.6</v>
      </c>
      <c r="CN3" t="s">
        <v>35</v>
      </c>
      <c r="CO3">
        <v>91.9</v>
      </c>
      <c r="CP3" s="23">
        <f>(CO3-'0. Current system'!$G3)/'0. Current system'!$G3</f>
        <v>-0.49781420765027318</v>
      </c>
      <c r="CQ3" s="20">
        <f>(CO3-'1. Diesel, no storage'!$G3)/'1. Diesel, no storage'!$G3</f>
        <v>-0.22708158116063917</v>
      </c>
      <c r="CR3" s="20">
        <f>(CO3-$G3)/$G3</f>
        <v>-3.2537960954446546E-3</v>
      </c>
      <c r="CT3" t="s">
        <v>241</v>
      </c>
      <c r="CW3" s="1"/>
      <c r="CX3">
        <v>8</v>
      </c>
      <c r="CY3" t="s">
        <v>33</v>
      </c>
      <c r="DB3" t="s">
        <v>35</v>
      </c>
      <c r="DC3">
        <v>91.8</v>
      </c>
      <c r="DD3" s="23">
        <f>(DC3-'0. Current system'!$G3)/'0. Current system'!$G3</f>
        <v>-0.49836065573770494</v>
      </c>
      <c r="DE3" s="20">
        <f>(DC3-'1. Diesel, no storage'!$G3)/'1. Diesel, no storage'!$G3</f>
        <v>-0.22792262405382679</v>
      </c>
      <c r="DF3" s="20">
        <f>(DC3-$G3)/$G3</f>
        <v>-4.338394793926309E-3</v>
      </c>
      <c r="DH3" t="s">
        <v>241</v>
      </c>
      <c r="DK3" s="1"/>
    </row>
    <row r="4" spans="1:115">
      <c r="A4" s="1"/>
      <c r="B4" s="4" t="s">
        <v>21</v>
      </c>
      <c r="D4" t="s">
        <v>34</v>
      </c>
      <c r="S4" s="1"/>
      <c r="T4" s="4" t="s">
        <v>21</v>
      </c>
      <c r="V4" t="s">
        <v>34</v>
      </c>
      <c r="X4" s="4" t="s">
        <v>8</v>
      </c>
      <c r="Z4" t="s">
        <v>103</v>
      </c>
      <c r="AA4" t="s">
        <v>102</v>
      </c>
      <c r="AB4" t="s">
        <v>200</v>
      </c>
      <c r="AK4" s="1"/>
      <c r="AL4" s="4" t="s">
        <v>21</v>
      </c>
      <c r="AN4" t="s">
        <v>34</v>
      </c>
      <c r="AR4" t="s">
        <v>103</v>
      </c>
      <c r="AS4" t="s">
        <v>102</v>
      </c>
      <c r="AT4" t="s">
        <v>200</v>
      </c>
      <c r="AY4" s="1"/>
      <c r="AZ4" s="4" t="s">
        <v>21</v>
      </c>
      <c r="BB4" t="s">
        <v>34</v>
      </c>
      <c r="BD4" s="4" t="s">
        <v>8</v>
      </c>
      <c r="BE4" t="s">
        <v>36</v>
      </c>
      <c r="BF4" t="s">
        <v>103</v>
      </c>
      <c r="BG4" t="s">
        <v>102</v>
      </c>
      <c r="BH4" t="s">
        <v>200</v>
      </c>
      <c r="BQ4" s="1"/>
      <c r="BR4" s="4" t="s">
        <v>21</v>
      </c>
      <c r="BT4" t="s">
        <v>34</v>
      </c>
      <c r="BV4" s="4" t="s">
        <v>8</v>
      </c>
      <c r="BW4" t="s">
        <v>36</v>
      </c>
      <c r="BX4" t="s">
        <v>103</v>
      </c>
      <c r="BY4" t="s">
        <v>102</v>
      </c>
      <c r="BZ4" t="s">
        <v>200</v>
      </c>
      <c r="CI4" s="1"/>
      <c r="CJ4" s="4" t="s">
        <v>21</v>
      </c>
      <c r="CL4" t="s">
        <v>34</v>
      </c>
      <c r="CN4" s="4" t="s">
        <v>8</v>
      </c>
      <c r="CO4" t="s">
        <v>36</v>
      </c>
      <c r="CP4" t="s">
        <v>103</v>
      </c>
      <c r="CQ4" t="s">
        <v>102</v>
      </c>
      <c r="CR4" t="s">
        <v>200</v>
      </c>
      <c r="CW4" s="1"/>
      <c r="CX4" s="4" t="s">
        <v>21</v>
      </c>
      <c r="CZ4" t="s">
        <v>34</v>
      </c>
      <c r="DB4" s="4" t="s">
        <v>8</v>
      </c>
      <c r="DC4" t="s">
        <v>36</v>
      </c>
      <c r="DD4" t="s">
        <v>103</v>
      </c>
      <c r="DE4" t="s">
        <v>102</v>
      </c>
      <c r="DF4" t="s">
        <v>200</v>
      </c>
      <c r="DK4" s="1"/>
    </row>
    <row r="5" spans="1:115">
      <c r="A5" s="1"/>
      <c r="B5" s="4" t="s">
        <v>23</v>
      </c>
      <c r="C5" s="7">
        <v>70</v>
      </c>
      <c r="D5" s="7">
        <f t="shared" ref="D5:D14" si="0">C5*B$3</f>
        <v>280</v>
      </c>
      <c r="F5" s="4" t="s">
        <v>9</v>
      </c>
      <c r="G5" s="7">
        <v>105.01968100000001</v>
      </c>
      <c r="H5" s="20">
        <f>(G5-'0. Current system'!$G5)/'0. Current system'!$G5</f>
        <v>-0.48040856021531675</v>
      </c>
      <c r="I5" s="20">
        <f>(G5-'1. Diesel, no storage'!$G5)/'1. Diesel, no storage'!$G5</f>
        <v>-0.23520733230265883</v>
      </c>
      <c r="S5" s="1"/>
      <c r="T5" s="4" t="s">
        <v>23</v>
      </c>
      <c r="U5" s="7">
        <v>70</v>
      </c>
      <c r="V5" s="7">
        <f>U5*T$3</f>
        <v>280</v>
      </c>
      <c r="X5" s="4" t="s">
        <v>9</v>
      </c>
      <c r="Y5" s="7">
        <v>105.01968100000001</v>
      </c>
      <c r="Z5" s="23">
        <f>(Y5-'0. Current system'!$G5)/'0. Current system'!$G5</f>
        <v>-0.48040856021531675</v>
      </c>
      <c r="AA5" s="20">
        <f>(Y5-'1. Diesel, no storage'!$G5)/'1. Diesel, no storage'!$G5</f>
        <v>-0.23520733230265883</v>
      </c>
      <c r="AB5" s="20">
        <f>(Y5-$G5)/$G5</f>
        <v>0</v>
      </c>
      <c r="AK5" s="1"/>
      <c r="AL5" s="4" t="s">
        <v>23</v>
      </c>
      <c r="AM5">
        <v>70</v>
      </c>
      <c r="AN5" s="7">
        <f t="shared" ref="AN5:AN14" si="1">AM5*AL$3</f>
        <v>280</v>
      </c>
      <c r="AP5" s="4" t="s">
        <v>9</v>
      </c>
      <c r="AQ5" s="7">
        <v>108.36754500000001</v>
      </c>
      <c r="AR5" s="23">
        <f>(AQ5-'0. Current system'!$G5)/'0. Current system'!$G5</f>
        <v>-0.46384479369651244</v>
      </c>
      <c r="AS5" s="20">
        <f>(AQ5-'1. Diesel, no storage'!$G5)/'1. Diesel, no storage'!$G5</f>
        <v>-0.21082693221700352</v>
      </c>
      <c r="AT5" s="20">
        <f>(AQ5-$G5)/$G5</f>
        <v>3.1878443812831628E-2</v>
      </c>
      <c r="AY5" s="1"/>
      <c r="AZ5" s="4" t="s">
        <v>23</v>
      </c>
      <c r="BA5" s="7">
        <v>70</v>
      </c>
      <c r="BB5" s="7">
        <f t="shared" ref="BB5:BB14" si="2">BA5*AZ$3</f>
        <v>420</v>
      </c>
      <c r="BD5" s="4" t="s">
        <v>9</v>
      </c>
      <c r="BE5" s="7">
        <v>98.979073</v>
      </c>
      <c r="BF5" s="23">
        <f>(BE5-'0. Current system'!$G5)/'0. Current system'!$G5</f>
        <v>-0.51029484608105724</v>
      </c>
      <c r="BG5" s="20">
        <f>(BE5-'1. Diesel, no storage'!$G5)/'1. Diesel, no storage'!$G5</f>
        <v>-0.27919730316187241</v>
      </c>
      <c r="BH5" s="20">
        <f>(BE5-$G5)/$G5</f>
        <v>-5.7518818782167178E-2</v>
      </c>
      <c r="BJ5">
        <f>BE5*BJ32</f>
        <v>43255.442525330916</v>
      </c>
      <c r="BQ5" s="1"/>
      <c r="BR5" s="4" t="s">
        <v>23</v>
      </c>
      <c r="BS5" s="7">
        <v>70</v>
      </c>
      <c r="BT5" s="7">
        <f t="shared" ref="BT5:BT14" si="3">BS5*BR$3</f>
        <v>140</v>
      </c>
      <c r="BV5" s="4" t="s">
        <v>9</v>
      </c>
      <c r="BW5" s="7">
        <v>113.051472</v>
      </c>
      <c r="BX5" s="23">
        <f>(BW5-'0. Current system'!$G5)/'0. Current system'!$G5</f>
        <v>-0.4406707719264753</v>
      </c>
      <c r="BY5" s="20">
        <f>(BW5-'1. Diesel, no storage'!$G5)/'1. Diesel, no storage'!$G5</f>
        <v>-0.17671682074532993</v>
      </c>
      <c r="BZ5" s="20">
        <f>(BW5-$G5)/$G5</f>
        <v>7.6478912557351966E-2</v>
      </c>
      <c r="CI5" s="1"/>
      <c r="CJ5" s="4" t="s">
        <v>23</v>
      </c>
      <c r="CK5" s="7">
        <v>70</v>
      </c>
      <c r="CL5" s="7">
        <f>CK5*CJ$3</f>
        <v>420</v>
      </c>
      <c r="CN5" s="4" t="s">
        <v>9</v>
      </c>
      <c r="CO5" s="7">
        <v>98.979073</v>
      </c>
      <c r="CP5" s="23">
        <f>(CO5-'0. Current system'!$G5)/'0. Current system'!$G5</f>
        <v>-0.51029484608105724</v>
      </c>
      <c r="CQ5" s="20">
        <f>(CO5-'1. Diesel, no storage'!$G5)/'1. Diesel, no storage'!$G5</f>
        <v>-0.27919730316187241</v>
      </c>
      <c r="CR5" s="20">
        <f>(CO5-$G5)/$G5</f>
        <v>-5.7518818782167178E-2</v>
      </c>
      <c r="CW5" s="1"/>
      <c r="CX5" s="4" t="s">
        <v>211</v>
      </c>
      <c r="CY5" s="7">
        <v>70</v>
      </c>
      <c r="CZ5" s="7">
        <f>CY5*CX$3</f>
        <v>560</v>
      </c>
      <c r="DB5" s="4" t="s">
        <v>9</v>
      </c>
      <c r="DC5" s="7">
        <v>97.638357999999997</v>
      </c>
      <c r="DD5" s="23">
        <f>(DC5-'0. Current system'!$G5)/'0. Current system'!$G5</f>
        <v>-0.51692811739323086</v>
      </c>
      <c r="DE5" s="20">
        <f>(DC5-'1. Diesel, no storage'!$G5)/'1. Diesel, no storage'!$G5</f>
        <v>-0.28896089215498544</v>
      </c>
      <c r="DF5" s="20">
        <f>(DC5-$G5)/$G5</f>
        <v>-7.0285140172916816E-2</v>
      </c>
      <c r="DK5" s="1"/>
    </row>
    <row r="6" spans="1:115">
      <c r="A6" s="1"/>
      <c r="B6" s="4" t="s">
        <v>29</v>
      </c>
      <c r="C6" s="7">
        <v>200</v>
      </c>
      <c r="D6" s="7">
        <f t="shared" si="0"/>
        <v>800</v>
      </c>
      <c r="F6" s="4" t="s">
        <v>11</v>
      </c>
      <c r="G6" s="7">
        <v>91.499504999999999</v>
      </c>
      <c r="H6" s="20">
        <f>(G6-'0. Current system'!$G6)/'0. Current system'!$G6</f>
        <v>-0.5041899427718306</v>
      </c>
      <c r="I6" s="20">
        <f>(G6-'1. Diesel, no storage'!$G6)/'1. Diesel, no storage'!$G6</f>
        <v>-0.26059564894307269</v>
      </c>
      <c r="S6" s="1"/>
      <c r="T6" s="4" t="s">
        <v>29</v>
      </c>
      <c r="U6" s="7">
        <v>173.53874999999999</v>
      </c>
      <c r="V6" s="7">
        <f t="shared" ref="V6:V14" si="4">U6*T$3</f>
        <v>694.15499999999997</v>
      </c>
      <c r="X6" s="4" t="s">
        <v>11</v>
      </c>
      <c r="Y6" s="7">
        <v>100.82666500000001</v>
      </c>
      <c r="Z6" s="23">
        <f>(Y6-'0. Current system'!$G6)/'0. Current system'!$G6</f>
        <v>-0.45364868865929414</v>
      </c>
      <c r="AA6" s="20">
        <f>(Y6-'1. Diesel, no storage'!$G6)/'1. Diesel, no storage'!$G6</f>
        <v>-0.18522318996633688</v>
      </c>
      <c r="AB6" s="20">
        <f t="shared" ref="AB6:AB14" si="5">(Y6-$G6)/$G6</f>
        <v>0.10193672632436653</v>
      </c>
      <c r="AK6" s="1"/>
      <c r="AL6" s="4" t="s">
        <v>29</v>
      </c>
      <c r="AM6">
        <v>174.88342</v>
      </c>
      <c r="AN6" s="7">
        <f t="shared" si="1"/>
        <v>699.53368</v>
      </c>
      <c r="AP6" s="4" t="s">
        <v>11</v>
      </c>
      <c r="AQ6" s="7">
        <v>94.926762999999994</v>
      </c>
      <c r="AR6" s="23">
        <f>(AQ6-'0. Current system'!$G6)/'0. Current system'!$G6</f>
        <v>-0.48561859656492268</v>
      </c>
      <c r="AS6" s="20">
        <f>(AQ6-'1. Diesel, no storage'!$G6)/'1. Diesel, no storage'!$G6</f>
        <v>-0.23290009499013428</v>
      </c>
      <c r="AT6" s="20">
        <f t="shared" ref="AT6:AT14" si="6">(AQ6-$G6)/$G6</f>
        <v>3.7456574218625499E-2</v>
      </c>
      <c r="AY6" s="1"/>
      <c r="AZ6" s="4" t="s">
        <v>29</v>
      </c>
      <c r="BA6" s="7">
        <v>200</v>
      </c>
      <c r="BB6" s="7">
        <f t="shared" si="2"/>
        <v>1200</v>
      </c>
      <c r="BD6" s="4" t="s">
        <v>11</v>
      </c>
      <c r="BE6" s="7">
        <v>89.944396999999995</v>
      </c>
      <c r="BF6" s="23">
        <f>(BE6-'0. Current system'!$G6)/'0. Current system'!$G6</f>
        <v>-0.51261663520558731</v>
      </c>
      <c r="BG6" s="20">
        <f>(BE6-'1. Diesel, no storage'!$G6)/'1. Diesel, no storage'!$G6</f>
        <v>-0.27316242317385614</v>
      </c>
      <c r="BH6" s="20">
        <f t="shared" ref="BH6:BH14" si="7">(BE6-$G6)/$G6</f>
        <v>-1.6995807791528535E-2</v>
      </c>
      <c r="BJ6">
        <f t="shared" ref="BJ6:BJ14" si="8">BE6*BJ33</f>
        <v>108106.15843552929</v>
      </c>
      <c r="BQ6" s="1"/>
      <c r="BR6" s="4" t="s">
        <v>29</v>
      </c>
      <c r="BS6" s="7">
        <v>200</v>
      </c>
      <c r="BT6" s="7">
        <f t="shared" si="3"/>
        <v>400</v>
      </c>
      <c r="BV6" s="4" t="s">
        <v>11</v>
      </c>
      <c r="BW6" s="7">
        <v>112.307704</v>
      </c>
      <c r="BX6" s="23">
        <f>(BW6-'0. Current system'!$G6)/'0. Current system'!$G6</f>
        <v>-0.39143617063934588</v>
      </c>
      <c r="BY6" s="20">
        <f>(BW6-'1. Diesel, no storage'!$G6)/'1. Diesel, no storage'!$G6</f>
        <v>-9.2445308913818927E-2</v>
      </c>
      <c r="BZ6" s="20">
        <f t="shared" ref="BZ6:BZ14" si="9">(BW6-$G6)/$G6</f>
        <v>0.22741324119731579</v>
      </c>
      <c r="CI6" s="1"/>
      <c r="CJ6" s="4" t="s">
        <v>29</v>
      </c>
      <c r="CK6" s="7">
        <v>116.593333</v>
      </c>
      <c r="CL6" s="7">
        <f t="shared" ref="CL6:CL14" si="10">CK6*CJ$3</f>
        <v>699.55999799999995</v>
      </c>
      <c r="CN6" s="4" t="s">
        <v>11</v>
      </c>
      <c r="CO6" s="7">
        <v>100.639298</v>
      </c>
      <c r="CP6" s="23">
        <f>(CO6-'0. Current system'!$G6)/'0. Current system'!$G6</f>
        <v>-0.45466397768181588</v>
      </c>
      <c r="CQ6" s="20">
        <f>(CO6-'1. Diesel, no storage'!$G6)/'1. Diesel, no storage'!$G6</f>
        <v>-0.18673729624532154</v>
      </c>
      <c r="CR6" s="20">
        <f t="shared" ref="CR6:CR14" si="11">(CO6-$G6)/$G6</f>
        <v>9.9888988470484052E-2</v>
      </c>
      <c r="CW6" s="1"/>
      <c r="CX6" s="4" t="s">
        <v>29</v>
      </c>
      <c r="CY6" s="7">
        <v>103.06399999999999</v>
      </c>
      <c r="CZ6" s="7">
        <f t="shared" ref="CZ6:CZ14" si="12">CY6*CX$3</f>
        <v>824.51199999999994</v>
      </c>
      <c r="DB6" s="4" t="s">
        <v>11</v>
      </c>
      <c r="DC6" s="7">
        <v>101.65377700000001</v>
      </c>
      <c r="DD6" s="23">
        <f>(DC6-'0. Current system'!$G6)/'0. Current system'!$G6</f>
        <v>-0.4491668015927564</v>
      </c>
      <c r="DE6" s="20">
        <f>(DC6-'1. Diesel, no storage'!$G6)/'1. Diesel, no storage'!$G6</f>
        <v>-0.17853932635842559</v>
      </c>
      <c r="DF6" s="20">
        <f t="shared" ref="DF6:DF14" si="13">(DC6-$G6)/$G6</f>
        <v>0.11097625063654723</v>
      </c>
      <c r="DK6" s="1"/>
    </row>
    <row r="7" spans="1:115">
      <c r="A7" s="1"/>
      <c r="B7" s="4" t="s">
        <v>26</v>
      </c>
      <c r="C7" s="7">
        <v>0</v>
      </c>
      <c r="D7" s="7">
        <f t="shared" si="0"/>
        <v>0</v>
      </c>
      <c r="F7" s="4" t="s">
        <v>12</v>
      </c>
      <c r="G7" s="7">
        <v>111.57970299999999</v>
      </c>
      <c r="H7" s="20">
        <f>(G7-'0. Current system'!$G7)/'0. Current system'!$G7</f>
        <v>-0.13415369708276381</v>
      </c>
      <c r="I7" s="20">
        <f>(G7-'1. Diesel, no storage'!$G7)/'1. Diesel, no storage'!$G7</f>
        <v>0</v>
      </c>
      <c r="S7" s="1"/>
      <c r="T7" s="4" t="s">
        <v>26</v>
      </c>
      <c r="U7" s="7">
        <v>0</v>
      </c>
      <c r="V7" s="7">
        <f t="shared" si="4"/>
        <v>0</v>
      </c>
      <c r="X7" s="4" t="s">
        <v>12</v>
      </c>
      <c r="Y7" s="7">
        <v>111.57970299999999</v>
      </c>
      <c r="Z7" s="23">
        <f>(Y7-'0. Current system'!$G7)/'0. Current system'!$G7</f>
        <v>-0.13415369708276381</v>
      </c>
      <c r="AA7" s="20">
        <f>(Y7-'1. Diesel, no storage'!$G7)/'1. Diesel, no storage'!$G7</f>
        <v>0</v>
      </c>
      <c r="AB7" s="20">
        <f t="shared" si="5"/>
        <v>0</v>
      </c>
      <c r="AK7" s="1"/>
      <c r="AL7" s="4" t="s">
        <v>26</v>
      </c>
      <c r="AM7">
        <v>0</v>
      </c>
      <c r="AN7" s="7">
        <f t="shared" si="1"/>
        <v>0</v>
      </c>
      <c r="AP7" s="4" t="s">
        <v>12</v>
      </c>
      <c r="AQ7" s="7">
        <v>111.57970299999999</v>
      </c>
      <c r="AR7" s="23">
        <f>(AQ7-'0. Current system'!$G7)/'0. Current system'!$G7</f>
        <v>-0.13415369708276381</v>
      </c>
      <c r="AS7" s="20">
        <f>(AQ7-'1. Diesel, no storage'!$G7)/'1. Diesel, no storage'!$G7</f>
        <v>0</v>
      </c>
      <c r="AT7" s="20">
        <f t="shared" si="6"/>
        <v>0</v>
      </c>
      <c r="AY7" s="1"/>
      <c r="AZ7" s="4" t="s">
        <v>26</v>
      </c>
      <c r="BA7" s="7">
        <v>0</v>
      </c>
      <c r="BB7" s="7">
        <f t="shared" si="2"/>
        <v>0</v>
      </c>
      <c r="BD7" s="4" t="s">
        <v>12</v>
      </c>
      <c r="BE7" s="7">
        <v>111.57970299999999</v>
      </c>
      <c r="BF7" s="23">
        <f>(BE7-'0. Current system'!$G7)/'0. Current system'!$G7</f>
        <v>-0.13415369708276381</v>
      </c>
      <c r="BG7" s="20">
        <f>(BE7-'1. Diesel, no storage'!$G7)/'1. Diesel, no storage'!$G7</f>
        <v>0</v>
      </c>
      <c r="BH7" s="20">
        <f t="shared" si="7"/>
        <v>0</v>
      </c>
      <c r="BJ7">
        <f t="shared" si="8"/>
        <v>14224.280960172699</v>
      </c>
      <c r="BQ7" s="1"/>
      <c r="BR7" s="4" t="s">
        <v>26</v>
      </c>
      <c r="BS7" s="7">
        <v>0</v>
      </c>
      <c r="BT7" s="7">
        <f t="shared" si="3"/>
        <v>0</v>
      </c>
      <c r="BV7" s="4" t="s">
        <v>12</v>
      </c>
      <c r="BW7" s="7">
        <v>111.57970299999999</v>
      </c>
      <c r="BX7" s="23">
        <f>(BW7-'0. Current system'!$G7)/'0. Current system'!$G7</f>
        <v>-0.13415369708276381</v>
      </c>
      <c r="BY7" s="20">
        <f>(BW7-'1. Diesel, no storage'!$G7)/'1. Diesel, no storage'!$G7</f>
        <v>0</v>
      </c>
      <c r="BZ7" s="20">
        <f t="shared" si="9"/>
        <v>0</v>
      </c>
      <c r="CI7" s="1"/>
      <c r="CJ7" s="4" t="s">
        <v>26</v>
      </c>
      <c r="CK7" s="7">
        <v>0</v>
      </c>
      <c r="CL7" s="7">
        <f t="shared" si="10"/>
        <v>0</v>
      </c>
      <c r="CN7" s="4" t="s">
        <v>12</v>
      </c>
      <c r="CO7" s="7">
        <v>111.57970299999999</v>
      </c>
      <c r="CP7" s="23">
        <f>(CO7-'0. Current system'!$G7)/'0. Current system'!$G7</f>
        <v>-0.13415369708276381</v>
      </c>
      <c r="CQ7" s="20">
        <f>(CO7-'1. Diesel, no storage'!$G7)/'1. Diesel, no storage'!$G7</f>
        <v>0</v>
      </c>
      <c r="CR7" s="20">
        <f t="shared" si="11"/>
        <v>0</v>
      </c>
      <c r="CW7" s="1"/>
      <c r="CX7" s="4" t="s">
        <v>26</v>
      </c>
      <c r="CY7" s="7">
        <v>0</v>
      </c>
      <c r="CZ7" s="7">
        <f t="shared" si="12"/>
        <v>0</v>
      </c>
      <c r="DB7" s="4" t="s">
        <v>12</v>
      </c>
      <c r="DC7" s="7">
        <v>111.57970299999999</v>
      </c>
      <c r="DD7" s="23">
        <f>(DC7-'0. Current system'!$G7)/'0. Current system'!$G7</f>
        <v>-0.13415369708276381</v>
      </c>
      <c r="DE7" s="20">
        <f>(DC7-'1. Diesel, no storage'!$G7)/'1. Diesel, no storage'!$G7</f>
        <v>0</v>
      </c>
      <c r="DF7" s="20">
        <f t="shared" si="13"/>
        <v>0</v>
      </c>
      <c r="DK7" s="1"/>
    </row>
    <row r="8" spans="1:115">
      <c r="A8" s="1"/>
      <c r="B8" s="4" t="s">
        <v>25</v>
      </c>
      <c r="C8" s="7">
        <v>320</v>
      </c>
      <c r="D8" s="7">
        <f t="shared" si="0"/>
        <v>1280</v>
      </c>
      <c r="F8" s="4" t="s">
        <v>13</v>
      </c>
      <c r="G8" s="7">
        <v>89.592667000000006</v>
      </c>
      <c r="H8" s="20">
        <f>(G8-'0. Current system'!$G8)/'0. Current system'!$G8</f>
        <v>-0.47828212052328178</v>
      </c>
      <c r="I8" s="20">
        <f>(G8-'1. Diesel, no storage'!$G8)/'1. Diesel, no storage'!$G8</f>
        <v>-0.23276048763740242</v>
      </c>
      <c r="S8" s="1"/>
      <c r="T8" s="4" t="s">
        <v>25</v>
      </c>
      <c r="U8" s="7">
        <v>320</v>
      </c>
      <c r="V8" s="7">
        <f t="shared" si="4"/>
        <v>1280</v>
      </c>
      <c r="X8" s="4" t="s">
        <v>13</v>
      </c>
      <c r="Y8" s="7">
        <v>89.592667000000006</v>
      </c>
      <c r="Z8" s="23">
        <f>(Y8-'0. Current system'!$G8)/'0. Current system'!$G8</f>
        <v>-0.47828212052328178</v>
      </c>
      <c r="AA8" s="20">
        <f>(Y8-'1. Diesel, no storage'!$G8)/'1. Diesel, no storage'!$G8</f>
        <v>-0.23276048763740242</v>
      </c>
      <c r="AB8" s="20">
        <f t="shared" si="5"/>
        <v>0</v>
      </c>
      <c r="AK8" s="1"/>
      <c r="AL8" s="4" t="s">
        <v>25</v>
      </c>
      <c r="AM8">
        <v>320</v>
      </c>
      <c r="AN8" s="7">
        <f t="shared" si="1"/>
        <v>1280</v>
      </c>
      <c r="AP8" s="4" t="s">
        <v>13</v>
      </c>
      <c r="AQ8" s="7">
        <v>92.931533999999999</v>
      </c>
      <c r="AR8" s="23">
        <f>(AQ8-'0. Current system'!$G8)/'0. Current system'!$G8</f>
        <v>-0.45883916085455367</v>
      </c>
      <c r="AS8" s="20">
        <f>(AQ8-'1. Diesel, no storage'!$G8)/'1. Diesel, no storage'!$G8</f>
        <v>-0.20416762647250861</v>
      </c>
      <c r="AT8" s="20">
        <f t="shared" si="6"/>
        <v>3.726719062844723E-2</v>
      </c>
      <c r="AY8" s="1"/>
      <c r="AZ8" s="4" t="s">
        <v>25</v>
      </c>
      <c r="BA8" s="7">
        <v>320</v>
      </c>
      <c r="BB8" s="7">
        <f t="shared" si="2"/>
        <v>1920</v>
      </c>
      <c r="BD8" s="4" t="s">
        <v>13</v>
      </c>
      <c r="BE8" s="7">
        <v>86.999076000000002</v>
      </c>
      <c r="BF8" s="23">
        <f>(BE8-'0. Current system'!$G8)/'0. Current system'!$G8</f>
        <v>-0.49338517350807465</v>
      </c>
      <c r="BG8" s="20">
        <f>(BE8-'1. Diesel, no storage'!$G8)/'1. Diesel, no storage'!$G8</f>
        <v>-0.25497107206065689</v>
      </c>
      <c r="BH8" s="20">
        <f t="shared" si="7"/>
        <v>-2.894869733032954E-2</v>
      </c>
      <c r="BJ8">
        <f t="shared" si="8"/>
        <v>174273.9564707352</v>
      </c>
      <c r="BQ8" s="1"/>
      <c r="BR8" s="4" t="s">
        <v>25</v>
      </c>
      <c r="BS8" s="7">
        <v>320</v>
      </c>
      <c r="BT8" s="7">
        <f t="shared" si="3"/>
        <v>640</v>
      </c>
      <c r="BV8" s="4" t="s">
        <v>13</v>
      </c>
      <c r="BW8" s="7">
        <v>94.058183</v>
      </c>
      <c r="BX8" s="23">
        <f>(BW8-'0. Current system'!$G8)/'0. Current system'!$G8</f>
        <v>-0.45227843499520887</v>
      </c>
      <c r="BY8" s="20">
        <f>(BW8-'1. Diesel, no storage'!$G8)/'1. Diesel, no storage'!$G8</f>
        <v>-0.19451940794851036</v>
      </c>
      <c r="BZ8" s="20">
        <f t="shared" si="9"/>
        <v>4.9842427394197267E-2</v>
      </c>
      <c r="CI8" s="1"/>
      <c r="CJ8" s="4" t="s">
        <v>25</v>
      </c>
      <c r="CK8" s="7">
        <v>320</v>
      </c>
      <c r="CL8" s="7">
        <f t="shared" si="10"/>
        <v>1920</v>
      </c>
      <c r="CN8" s="4" t="s">
        <v>13</v>
      </c>
      <c r="CO8" s="7">
        <v>86.999076000000002</v>
      </c>
      <c r="CP8" s="23">
        <f>(CO8-'0. Current system'!$G8)/'0. Current system'!$G8</f>
        <v>-0.49338517350807465</v>
      </c>
      <c r="CQ8" s="20">
        <f>(CO8-'1. Diesel, no storage'!$G8)/'1. Diesel, no storage'!$G8</f>
        <v>-0.25497107206065689</v>
      </c>
      <c r="CR8" s="20">
        <f t="shared" si="11"/>
        <v>-2.894869733032954E-2</v>
      </c>
      <c r="CW8" s="1"/>
      <c r="CX8" s="4" t="s">
        <v>25</v>
      </c>
      <c r="CY8" s="7">
        <v>320</v>
      </c>
      <c r="CZ8" s="7">
        <f t="shared" si="12"/>
        <v>2560</v>
      </c>
      <c r="DB8" s="4" t="s">
        <v>13</v>
      </c>
      <c r="DC8" s="7">
        <v>86.725031000000001</v>
      </c>
      <c r="DD8" s="23">
        <f>(DC8-'0. Current system'!$G8)/'0. Current system'!$G8</f>
        <v>-0.49498099804448675</v>
      </c>
      <c r="DE8" s="20">
        <f>(DC8-'1. Diesel, no storage'!$G8)/'1. Diesel, no storage'!$G8</f>
        <v>-0.25731789529079258</v>
      </c>
      <c r="DF8" s="20">
        <f t="shared" si="13"/>
        <v>-3.2007485612633946E-2</v>
      </c>
      <c r="DK8" s="1"/>
    </row>
    <row r="9" spans="1:115">
      <c r="A9" s="1"/>
      <c r="B9" s="4" t="s">
        <v>31</v>
      </c>
      <c r="C9" s="7">
        <v>45</v>
      </c>
      <c r="D9" s="7">
        <f t="shared" si="0"/>
        <v>180</v>
      </c>
      <c r="F9" s="4" t="s">
        <v>14</v>
      </c>
      <c r="G9" s="7">
        <v>91.988956000000002</v>
      </c>
      <c r="H9" s="20">
        <f>(G9-'0. Current system'!$G9)/'0. Current system'!$G9</f>
        <v>-0.54384289090515692</v>
      </c>
      <c r="I9" s="20">
        <f>(G9-'1. Diesel, no storage'!$G9)/'1. Diesel, no storage'!$G9</f>
        <v>-0.22809329243302989</v>
      </c>
      <c r="S9" s="1"/>
      <c r="T9" s="4" t="s">
        <v>31</v>
      </c>
      <c r="U9" s="7">
        <v>45</v>
      </c>
      <c r="V9" s="7">
        <f t="shared" si="4"/>
        <v>180</v>
      </c>
      <c r="X9" s="4" t="s">
        <v>14</v>
      </c>
      <c r="Y9" s="7">
        <v>91.988956000000002</v>
      </c>
      <c r="Z9" s="23">
        <f>(Y9-'0. Current system'!$G9)/'0. Current system'!$G9</f>
        <v>-0.54384289090515692</v>
      </c>
      <c r="AA9" s="20">
        <f>(Y9-'1. Diesel, no storage'!$G9)/'1. Diesel, no storage'!$G9</f>
        <v>-0.22809329243302989</v>
      </c>
      <c r="AB9" s="20">
        <f t="shared" si="5"/>
        <v>0</v>
      </c>
      <c r="AK9" s="1"/>
      <c r="AL9" s="4" t="s">
        <v>31</v>
      </c>
      <c r="AM9">
        <v>40.292890999999997</v>
      </c>
      <c r="AN9" s="7">
        <f t="shared" si="1"/>
        <v>161.17156399999999</v>
      </c>
      <c r="AP9" s="4" t="s">
        <v>14</v>
      </c>
      <c r="AQ9" s="7">
        <v>95.436862000000005</v>
      </c>
      <c r="AR9" s="23">
        <f>(AQ9-'0. Current system'!$G9)/'0. Current system'!$G9</f>
        <v>-0.52674532939580831</v>
      </c>
      <c r="AS9" s="20">
        <f>(AQ9-'1. Diesel, no storage'!$G9)/'1. Diesel, no storage'!$G9</f>
        <v>-0.19916088702057577</v>
      </c>
      <c r="AT9" s="20">
        <f t="shared" si="6"/>
        <v>3.7481738568703869E-2</v>
      </c>
      <c r="AY9" s="1"/>
      <c r="AZ9" s="4" t="s">
        <v>31</v>
      </c>
      <c r="BA9" s="7">
        <v>33.471215999999998</v>
      </c>
      <c r="BB9" s="7">
        <f t="shared" si="2"/>
        <v>200.82729599999999</v>
      </c>
      <c r="BD9" s="4" t="s">
        <v>14</v>
      </c>
      <c r="BE9" s="7">
        <v>91.612382999999994</v>
      </c>
      <c r="BF9" s="23">
        <f>(BE9-'0. Current system'!$G9)/'0. Current system'!$G9</f>
        <v>-0.54571025040691246</v>
      </c>
      <c r="BG9" s="20">
        <f>(BE9-'1. Diesel, no storage'!$G9)/'1. Diesel, no storage'!$G9</f>
        <v>-0.23125322855175945</v>
      </c>
      <c r="BH9" s="20">
        <f t="shared" si="7"/>
        <v>-4.0936762017389087E-3</v>
      </c>
      <c r="BJ9">
        <f t="shared" si="8"/>
        <v>24187.382355174479</v>
      </c>
      <c r="BQ9" s="1"/>
      <c r="BR9" s="4" t="s">
        <v>31</v>
      </c>
      <c r="BS9" s="7">
        <v>45</v>
      </c>
      <c r="BT9" s="7">
        <f t="shared" si="3"/>
        <v>90</v>
      </c>
      <c r="BV9" s="4" t="s">
        <v>14</v>
      </c>
      <c r="BW9" s="7">
        <v>95.695961999999994</v>
      </c>
      <c r="BX9" s="23">
        <f>(BW9-'0. Current system'!$G9)/'0. Current system'!$G9</f>
        <v>-0.52546049791053229</v>
      </c>
      <c r="BY9" s="20">
        <f>(BW9-'1. Diesel, no storage'!$G9)/'1. Diesel, no storage'!$G9</f>
        <v>-0.1969867018071835</v>
      </c>
      <c r="BZ9" s="20">
        <f t="shared" si="9"/>
        <v>4.029838103608864E-2</v>
      </c>
      <c r="CI9" s="1"/>
      <c r="CJ9" s="4" t="s">
        <v>31</v>
      </c>
      <c r="CK9" s="7">
        <v>33.471215999999998</v>
      </c>
      <c r="CL9" s="7">
        <f t="shared" si="10"/>
        <v>200.82729599999999</v>
      </c>
      <c r="CN9" s="4" t="s">
        <v>14</v>
      </c>
      <c r="CO9" s="7">
        <v>91.612382999999994</v>
      </c>
      <c r="CP9" s="23">
        <f>(CO9-'0. Current system'!$G9)/'0. Current system'!$G9</f>
        <v>-0.54571025040691246</v>
      </c>
      <c r="CQ9" s="20">
        <f>(CO9-'1. Diesel, no storage'!$G9)/'1. Diesel, no storage'!$G9</f>
        <v>-0.23125322855175945</v>
      </c>
      <c r="CR9" s="20">
        <f t="shared" si="11"/>
        <v>-4.0936762017389087E-3</v>
      </c>
      <c r="CW9" s="1"/>
      <c r="CX9" s="4" t="s">
        <v>31</v>
      </c>
      <c r="CY9" s="7">
        <v>25.273246</v>
      </c>
      <c r="CZ9" s="7">
        <f t="shared" si="12"/>
        <v>202.185968</v>
      </c>
      <c r="DB9" s="4" t="s">
        <v>14</v>
      </c>
      <c r="DC9" s="7">
        <v>91.516062000000005</v>
      </c>
      <c r="DD9" s="23">
        <f>(DC9-'0. Current system'!$G9)/'0. Current system'!$G9</f>
        <v>-0.54618788936288798</v>
      </c>
      <c r="DE9" s="20">
        <f>(DC9-'1. Diesel, no storage'!$G9)/'1. Diesel, no storage'!$G9</f>
        <v>-0.23206148672983409</v>
      </c>
      <c r="DF9" s="20">
        <f t="shared" si="13"/>
        <v>-5.1407692897394832E-3</v>
      </c>
      <c r="DK9" s="1"/>
    </row>
    <row r="10" spans="1:115">
      <c r="A10" s="1"/>
      <c r="B10" s="4" t="s">
        <v>28</v>
      </c>
      <c r="C10" s="7">
        <v>75</v>
      </c>
      <c r="D10" s="7">
        <f t="shared" si="0"/>
        <v>300</v>
      </c>
      <c r="F10" s="4" t="s">
        <v>15</v>
      </c>
      <c r="G10" s="7">
        <v>95.272126</v>
      </c>
      <c r="H10" s="20">
        <f>(G10-'0. Current system'!$G10)/'0. Current system'!$G10</f>
        <v>-0.52715087526951232</v>
      </c>
      <c r="I10" s="20">
        <f>(G10-'1. Diesel, no storage'!$G10)/'1. Diesel, no storage'!$G10</f>
        <v>-0.1966187096319818</v>
      </c>
      <c r="S10" s="1"/>
      <c r="T10" s="4" t="s">
        <v>28</v>
      </c>
      <c r="U10" s="7">
        <v>75</v>
      </c>
      <c r="V10" s="7">
        <f t="shared" si="4"/>
        <v>300</v>
      </c>
      <c r="X10" s="4" t="s">
        <v>15</v>
      </c>
      <c r="Y10" s="7">
        <v>95.272126</v>
      </c>
      <c r="Z10" s="23">
        <f>(Y10-'0. Current system'!$G10)/'0. Current system'!$G10</f>
        <v>-0.52715087526951232</v>
      </c>
      <c r="AA10" s="20">
        <f>(Y10-'1. Diesel, no storage'!$G10)/'1. Diesel, no storage'!$G10</f>
        <v>-0.1966187096319818</v>
      </c>
      <c r="AB10" s="20">
        <f t="shared" si="5"/>
        <v>0</v>
      </c>
      <c r="AK10" s="1"/>
      <c r="AL10" s="4" t="s">
        <v>28</v>
      </c>
      <c r="AM10">
        <v>69.741106000000002</v>
      </c>
      <c r="AN10" s="7">
        <f t="shared" si="1"/>
        <v>278.96442400000001</v>
      </c>
      <c r="AP10" s="4" t="s">
        <v>15</v>
      </c>
      <c r="AQ10" s="7">
        <v>98.579588999999999</v>
      </c>
      <c r="AR10" s="23">
        <f>(AQ10-'0. Current system'!$G10)/'0. Current system'!$G10</f>
        <v>-0.51073546553436611</v>
      </c>
      <c r="AS10" s="20">
        <f>(AQ10-'1. Diesel, no storage'!$G10)/'1. Diesel, no storage'!$G10</f>
        <v>-0.16872855954984262</v>
      </c>
      <c r="AT10" s="20">
        <f t="shared" si="6"/>
        <v>3.4715956690207571E-2</v>
      </c>
      <c r="AY10" s="1"/>
      <c r="AZ10" s="4" t="s">
        <v>28</v>
      </c>
      <c r="BA10" s="7">
        <v>75</v>
      </c>
      <c r="BB10" s="7">
        <f t="shared" si="2"/>
        <v>450</v>
      </c>
      <c r="BD10" s="4" t="s">
        <v>15</v>
      </c>
      <c r="BE10" s="7">
        <v>93.501378000000003</v>
      </c>
      <c r="BF10" s="23">
        <f>(BE10-'0. Current system'!$G10)/'0. Current system'!$G10</f>
        <v>-0.53593934968561019</v>
      </c>
      <c r="BG10" s="20">
        <f>(BE10-'1. Diesel, no storage'!$G10)/'1. Diesel, no storage'!$G10</f>
        <v>-0.21155052518899567</v>
      </c>
      <c r="BH10" s="20">
        <f t="shared" si="7"/>
        <v>-1.8586212718712684E-2</v>
      </c>
      <c r="BJ10">
        <f t="shared" si="8"/>
        <v>44267.236392994579</v>
      </c>
      <c r="BQ10" s="1"/>
      <c r="BR10" s="4" t="s">
        <v>28</v>
      </c>
      <c r="BS10" s="7">
        <v>75</v>
      </c>
      <c r="BT10" s="7">
        <f t="shared" si="3"/>
        <v>150</v>
      </c>
      <c r="BV10" s="4" t="s">
        <v>15</v>
      </c>
      <c r="BW10" s="7">
        <v>97.349355000000003</v>
      </c>
      <c r="BX10" s="23">
        <f>(BW10-'0. Current system'!$G10)/'0. Current system'!$G10</f>
        <v>-0.51684129201832307</v>
      </c>
      <c r="BY10" s="20">
        <f>(BW10-'1. Diesel, no storage'!$G10)/'1. Diesel, no storage'!$G10</f>
        <v>-0.17910249597669012</v>
      </c>
      <c r="BZ10" s="20">
        <f t="shared" si="9"/>
        <v>2.1803113745986969E-2</v>
      </c>
      <c r="CI10" s="1"/>
      <c r="CJ10" s="4" t="s">
        <v>28</v>
      </c>
      <c r="CK10" s="7">
        <v>75</v>
      </c>
      <c r="CL10" s="7">
        <f t="shared" si="10"/>
        <v>450</v>
      </c>
      <c r="CN10" s="4" t="s">
        <v>15</v>
      </c>
      <c r="CO10" s="7">
        <v>93.501378000000003</v>
      </c>
      <c r="CP10" s="23">
        <f>(CO10-'0. Current system'!$G10)/'0. Current system'!$G10</f>
        <v>-0.53593934968561019</v>
      </c>
      <c r="CQ10" s="20">
        <f>(CO10-'1. Diesel, no storage'!$G10)/'1. Diesel, no storage'!$G10</f>
        <v>-0.21155052518899567</v>
      </c>
      <c r="CR10" s="20">
        <f t="shared" si="11"/>
        <v>-1.8586212718712684E-2</v>
      </c>
      <c r="CW10" s="1"/>
      <c r="CX10" s="4" t="s">
        <v>28</v>
      </c>
      <c r="CY10" s="7">
        <v>75</v>
      </c>
      <c r="CZ10" s="7">
        <f t="shared" si="12"/>
        <v>600</v>
      </c>
      <c r="DB10" s="4" t="s">
        <v>15</v>
      </c>
      <c r="DC10" s="7">
        <v>93.018535999999997</v>
      </c>
      <c r="DD10" s="23">
        <f>(DC10-'0. Current system'!$G10)/'0. Current system'!$G10</f>
        <v>-0.53833576327129129</v>
      </c>
      <c r="DE10" s="20">
        <f>(DC10-'1. Diesel, no storage'!$G10)/'1. Diesel, no storage'!$G10</f>
        <v>-0.21562208573130873</v>
      </c>
      <c r="DF10" s="20">
        <f t="shared" si="13"/>
        <v>-2.3654242795001789E-2</v>
      </c>
      <c r="DK10" s="1"/>
    </row>
    <row r="11" spans="1:115">
      <c r="A11" s="1"/>
      <c r="B11" s="4" t="s">
        <v>24</v>
      </c>
      <c r="C11" s="7">
        <v>1.0812090000000001</v>
      </c>
      <c r="D11" s="7">
        <f t="shared" si="0"/>
        <v>4.3248360000000003</v>
      </c>
      <c r="F11" s="4" t="s">
        <v>16</v>
      </c>
      <c r="G11" s="7">
        <v>105.927986</v>
      </c>
      <c r="H11" s="20">
        <f>(G11-'0. Current system'!$G11)/'0. Current system'!$G11</f>
        <v>-0.44599551216975869</v>
      </c>
      <c r="I11" s="20">
        <f>(G11-'1. Diesel, no storage'!$G11)/'1. Diesel, no storage'!$G11</f>
        <v>-0.18026359441398571</v>
      </c>
      <c r="S11" s="1"/>
      <c r="T11" s="4" t="s">
        <v>24</v>
      </c>
      <c r="U11" s="7">
        <v>1.0812090000000001</v>
      </c>
      <c r="V11" s="7">
        <f t="shared" si="4"/>
        <v>4.3248360000000003</v>
      </c>
      <c r="X11" s="4" t="s">
        <v>16</v>
      </c>
      <c r="Y11" s="7">
        <v>105.927986</v>
      </c>
      <c r="Z11" s="23">
        <f>(Y11-'0. Current system'!$G11)/'0. Current system'!$G11</f>
        <v>-0.44599551216975869</v>
      </c>
      <c r="AA11" s="20">
        <f>(Y11-'1. Diesel, no storage'!$G11)/'1. Diesel, no storage'!$G11</f>
        <v>-0.18026359441398571</v>
      </c>
      <c r="AB11" s="20">
        <f t="shared" si="5"/>
        <v>0</v>
      </c>
      <c r="AK11" s="1"/>
      <c r="AL11" s="4" t="s">
        <v>24</v>
      </c>
      <c r="AM11">
        <v>0.89859800000000001</v>
      </c>
      <c r="AN11" s="7">
        <f t="shared" si="1"/>
        <v>3.594392</v>
      </c>
      <c r="AP11" s="4" t="s">
        <v>16</v>
      </c>
      <c r="AQ11" s="7">
        <v>107.196383</v>
      </c>
      <c r="AR11" s="23">
        <f>(AQ11-'0. Current system'!$G11)/'0. Current system'!$G11</f>
        <v>-0.43936178243614127</v>
      </c>
      <c r="AS11" s="20">
        <f>(AQ11-'1. Diesel, no storage'!$G11)/'1. Diesel, no storage'!$G11</f>
        <v>-0.17044795232638785</v>
      </c>
      <c r="AT11" s="20">
        <f t="shared" si="6"/>
        <v>1.1974144396552514E-2</v>
      </c>
      <c r="AY11" s="1"/>
      <c r="AZ11" s="4" t="s">
        <v>24</v>
      </c>
      <c r="BA11" s="7">
        <v>0.72817799999999999</v>
      </c>
      <c r="BB11" s="7">
        <f t="shared" si="2"/>
        <v>4.3690680000000004</v>
      </c>
      <c r="BD11" s="4" t="s">
        <v>16</v>
      </c>
      <c r="BE11" s="7">
        <v>105.84242</v>
      </c>
      <c r="BF11" s="23">
        <f>(BE11-'0. Current system'!$G11)/'0. Current system'!$G11</f>
        <v>-0.44644302325531526</v>
      </c>
      <c r="BG11" s="20">
        <f>(BE11-'1. Diesel, no storage'!$G11)/'1. Diesel, no storage'!$G11</f>
        <v>-0.18092575715236131</v>
      </c>
      <c r="BH11" s="20">
        <f t="shared" si="7"/>
        <v>-8.077751992754779E-4</v>
      </c>
      <c r="BJ11">
        <f t="shared" si="8"/>
        <v>1734.8123018583999</v>
      </c>
      <c r="BQ11" s="1"/>
      <c r="BR11" s="4" t="s">
        <v>24</v>
      </c>
      <c r="BS11" s="7">
        <v>2.1624180000000002</v>
      </c>
      <c r="BT11" s="7">
        <f t="shared" si="3"/>
        <v>4.3248360000000003</v>
      </c>
      <c r="BV11" s="4" t="s">
        <v>16</v>
      </c>
      <c r="BW11" s="7">
        <v>105.980164</v>
      </c>
      <c r="BX11" s="23">
        <f>(BW11-'0. Current system'!$G11)/'0. Current system'!$G11</f>
        <v>-0.44572262067755186</v>
      </c>
      <c r="BY11" s="20">
        <f>(BW11-'1. Diesel, no storage'!$G11)/'1. Diesel, no storage'!$G11</f>
        <v>-0.17985980871215365</v>
      </c>
      <c r="BZ11" s="20">
        <f t="shared" si="9"/>
        <v>4.9257993067099225E-4</v>
      </c>
      <c r="CI11" s="1"/>
      <c r="CJ11" s="4" t="s">
        <v>24</v>
      </c>
      <c r="CK11" s="7">
        <v>0.72817799999999999</v>
      </c>
      <c r="CL11" s="7">
        <f t="shared" si="10"/>
        <v>4.3690680000000004</v>
      </c>
      <c r="CN11" s="4" t="s">
        <v>16</v>
      </c>
      <c r="CO11" s="7">
        <v>105.84242</v>
      </c>
      <c r="CP11" s="23">
        <f>(CO11-'0. Current system'!$G11)/'0. Current system'!$G11</f>
        <v>-0.44644302325531526</v>
      </c>
      <c r="CQ11" s="20">
        <f>(CO11-'1. Diesel, no storage'!$G11)/'1. Diesel, no storage'!$G11</f>
        <v>-0.18092575715236131</v>
      </c>
      <c r="CR11" s="20">
        <f t="shared" si="11"/>
        <v>-8.077751992754779E-4</v>
      </c>
      <c r="CW11" s="1"/>
      <c r="CX11" s="4" t="s">
        <v>24</v>
      </c>
      <c r="CY11" s="7">
        <v>0.58784599999999998</v>
      </c>
      <c r="CZ11" s="7">
        <f t="shared" si="12"/>
        <v>4.7027679999999998</v>
      </c>
      <c r="DB11" s="4" t="s">
        <v>16</v>
      </c>
      <c r="DC11" s="7">
        <v>105.912757</v>
      </c>
      <c r="DD11" s="23">
        <f>(DC11-'0. Current system'!$G11)/'0. Current system'!$G11</f>
        <v>-0.44607516000092928</v>
      </c>
      <c r="DE11" s="20">
        <f>(DC11-'1. Diesel, no storage'!$G11)/'1. Diesel, no storage'!$G11</f>
        <v>-0.18038144585430926</v>
      </c>
      <c r="DF11" s="20">
        <f t="shared" si="13"/>
        <v>-1.4376748369411123E-4</v>
      </c>
      <c r="DK11" s="1"/>
    </row>
    <row r="12" spans="1:115">
      <c r="A12" s="1"/>
      <c r="B12" s="4" t="s">
        <v>27</v>
      </c>
      <c r="C12" s="7">
        <v>250</v>
      </c>
      <c r="D12" s="7">
        <f t="shared" si="0"/>
        <v>1000</v>
      </c>
      <c r="F12" s="4" t="s">
        <v>17</v>
      </c>
      <c r="G12" s="7">
        <v>92.831085000000002</v>
      </c>
      <c r="H12" s="20">
        <f>(G12-'0. Current system'!$G12)/'0. Current system'!$G12</f>
        <v>-0.5001129565658593</v>
      </c>
      <c r="I12" s="20">
        <f>(G12-'1. Diesel, no storage'!$G12)/'1. Diesel, no storage'!$G12</f>
        <v>-0.2182810177759455</v>
      </c>
      <c r="S12" s="1"/>
      <c r="T12" s="4" t="s">
        <v>27</v>
      </c>
      <c r="U12" s="7">
        <v>250</v>
      </c>
      <c r="V12" s="7">
        <f t="shared" si="4"/>
        <v>1000</v>
      </c>
      <c r="X12" s="4" t="s">
        <v>17</v>
      </c>
      <c r="Y12" s="7">
        <v>92.831085000000002</v>
      </c>
      <c r="Z12" s="23">
        <f>(Y12-'0. Current system'!$G12)/'0. Current system'!$G12</f>
        <v>-0.5001129565658593</v>
      </c>
      <c r="AA12" s="20">
        <f>(Y12-'1. Diesel, no storage'!$G12)/'1. Diesel, no storage'!$G12</f>
        <v>-0.2182810177759455</v>
      </c>
      <c r="AB12" s="20">
        <f t="shared" si="5"/>
        <v>0</v>
      </c>
      <c r="AK12" s="1"/>
      <c r="AL12" s="4" t="s">
        <v>27</v>
      </c>
      <c r="AM12">
        <v>250</v>
      </c>
      <c r="AN12" s="7">
        <f t="shared" si="1"/>
        <v>1000</v>
      </c>
      <c r="AP12" s="4" t="s">
        <v>17</v>
      </c>
      <c r="AQ12" s="7">
        <v>95.700408999999993</v>
      </c>
      <c r="AR12" s="23">
        <f>(AQ12-'0. Current system'!$G12)/'0. Current system'!$G12</f>
        <v>-0.48466190489480954</v>
      </c>
      <c r="AS12" s="20">
        <f>(AQ12-'1. Diesel, no storage'!$G12)/'1. Diesel, no storage'!$G12</f>
        <v>-0.19411879844013738</v>
      </c>
      <c r="AT12" s="20">
        <f t="shared" si="6"/>
        <v>3.0909086110541439E-2</v>
      </c>
      <c r="AY12" s="1"/>
      <c r="AZ12" s="4" t="s">
        <v>27</v>
      </c>
      <c r="BA12" s="7">
        <v>250</v>
      </c>
      <c r="BB12" s="7">
        <f t="shared" si="2"/>
        <v>1500</v>
      </c>
      <c r="BD12" s="4" t="s">
        <v>17</v>
      </c>
      <c r="BE12" s="7">
        <v>91.054396999999994</v>
      </c>
      <c r="BF12" s="23">
        <f>(BE12-'0. Current system'!$G12)/'0. Current system'!$G12</f>
        <v>-0.50968026164933344</v>
      </c>
      <c r="BG12" s="20">
        <f>(BE12-'1. Diesel, no storage'!$G12)/'1. Diesel, no storage'!$G12</f>
        <v>-0.23324228570779931</v>
      </c>
      <c r="BH12" s="20">
        <f t="shared" si="7"/>
        <v>-1.9138933903444167E-2</v>
      </c>
      <c r="BJ12">
        <f t="shared" si="8"/>
        <v>165816.73122430008</v>
      </c>
      <c r="BQ12" s="1"/>
      <c r="BR12" s="4" t="s">
        <v>27</v>
      </c>
      <c r="BS12" s="7">
        <v>250</v>
      </c>
      <c r="BT12" s="7">
        <f t="shared" si="3"/>
        <v>500</v>
      </c>
      <c r="BV12" s="4" t="s">
        <v>17</v>
      </c>
      <c r="BW12" s="7">
        <v>95.661389999999997</v>
      </c>
      <c r="BX12" s="23">
        <f>(BW12-'0. Current system'!$G12)/'0. Current system'!$G12</f>
        <v>-0.48487201870041413</v>
      </c>
      <c r="BY12" s="20">
        <f>(BW12-'1. Diesel, no storage'!$G12)/'1. Diesel, no storage'!$G12</f>
        <v>-0.19444737256988495</v>
      </c>
      <c r="BZ12" s="20">
        <f t="shared" si="9"/>
        <v>3.0488763542944646E-2</v>
      </c>
      <c r="CI12" s="1"/>
      <c r="CJ12" s="4" t="s">
        <v>27</v>
      </c>
      <c r="CK12" s="7">
        <v>250</v>
      </c>
      <c r="CL12" s="7">
        <f t="shared" si="10"/>
        <v>1500</v>
      </c>
      <c r="CN12" s="4" t="s">
        <v>17</v>
      </c>
      <c r="CO12" s="7">
        <v>91.054396999999994</v>
      </c>
      <c r="CP12" s="23">
        <f>(CO12-'0. Current system'!$G12)/'0. Current system'!$G12</f>
        <v>-0.50968026164933344</v>
      </c>
      <c r="CQ12" s="20">
        <f>(CO12-'1. Diesel, no storage'!$G12)/'1. Diesel, no storage'!$G12</f>
        <v>-0.23324228570779931</v>
      </c>
      <c r="CR12" s="20">
        <f t="shared" si="11"/>
        <v>-1.9138933903444167E-2</v>
      </c>
      <c r="CW12" s="1"/>
      <c r="CX12" s="4" t="s">
        <v>27</v>
      </c>
      <c r="CY12" s="7">
        <v>248.61854700000001</v>
      </c>
      <c r="CZ12" s="7">
        <f t="shared" si="12"/>
        <v>1988.9483760000001</v>
      </c>
      <c r="DB12" s="4" t="s">
        <v>17</v>
      </c>
      <c r="DC12" s="7">
        <v>90.435181999999998</v>
      </c>
      <c r="DD12" s="23">
        <f>(DC12-'0. Current system'!$G12)/'0. Current system'!$G12</f>
        <v>-0.51301467873171569</v>
      </c>
      <c r="DE12" s="20">
        <f>(DC12-'1. Diesel, no storage'!$G12)/'1. Diesel, no storage'!$G12</f>
        <v>-0.2384566179498265</v>
      </c>
      <c r="DF12" s="20">
        <f t="shared" si="13"/>
        <v>-2.5809274985852036E-2</v>
      </c>
      <c r="DK12" s="1"/>
    </row>
    <row r="13" spans="1:115">
      <c r="A13" s="1"/>
      <c r="B13" s="4" t="s">
        <v>22</v>
      </c>
      <c r="C13" s="7">
        <v>45</v>
      </c>
      <c r="D13" s="7">
        <f t="shared" si="0"/>
        <v>180</v>
      </c>
      <c r="F13" s="4" t="s">
        <v>18</v>
      </c>
      <c r="G13" s="7">
        <v>101.10778000000001</v>
      </c>
      <c r="H13" s="20">
        <f>(G13-'0. Current system'!$G13)/'0. Current system'!$G13</f>
        <v>-0.48905821507242431</v>
      </c>
      <c r="I13" s="20">
        <f>(G13-'1. Diesel, no storage'!$G13)/'1. Diesel, no storage'!$G13</f>
        <v>-0.1725235041098396</v>
      </c>
      <c r="S13" s="1"/>
      <c r="T13" s="4" t="s">
        <v>22</v>
      </c>
      <c r="U13" s="7">
        <v>45</v>
      </c>
      <c r="V13" s="7">
        <f t="shared" si="4"/>
        <v>180</v>
      </c>
      <c r="X13" s="4" t="s">
        <v>18</v>
      </c>
      <c r="Y13" s="7">
        <v>101.10778000000001</v>
      </c>
      <c r="Z13" s="23">
        <f>(Y13-'0. Current system'!$G13)/'0. Current system'!$G13</f>
        <v>-0.48905821507242431</v>
      </c>
      <c r="AA13" s="20">
        <f>(Y13-'1. Diesel, no storage'!$G13)/'1. Diesel, no storage'!$G13</f>
        <v>-0.1725235041098396</v>
      </c>
      <c r="AB13" s="20">
        <f t="shared" si="5"/>
        <v>0</v>
      </c>
      <c r="AK13" s="1"/>
      <c r="AL13" s="4" t="s">
        <v>22</v>
      </c>
      <c r="AM13">
        <v>45</v>
      </c>
      <c r="AN13" s="7">
        <f t="shared" si="1"/>
        <v>180</v>
      </c>
      <c r="AP13" s="4" t="s">
        <v>18</v>
      </c>
      <c r="AQ13" s="7">
        <v>104.55069399999999</v>
      </c>
      <c r="AR13" s="23">
        <f>(AQ13-'0. Current system'!$G13)/'0. Current system'!$G13</f>
        <v>-0.47165966646902174</v>
      </c>
      <c r="AS13" s="20">
        <f>(AQ13-'1. Diesel, no storage'!$G13)/'1. Diesel, no storage'!$G13</f>
        <v>-0.14434634096402468</v>
      </c>
      <c r="AT13" s="20">
        <f t="shared" si="6"/>
        <v>3.4051919644561356E-2</v>
      </c>
      <c r="AY13" s="1"/>
      <c r="AZ13" s="4" t="s">
        <v>22</v>
      </c>
      <c r="BA13" s="7">
        <v>45</v>
      </c>
      <c r="BB13" s="7">
        <f t="shared" si="2"/>
        <v>270</v>
      </c>
      <c r="BD13" s="4" t="s">
        <v>18</v>
      </c>
      <c r="BE13" s="7">
        <v>99.186918000000006</v>
      </c>
      <c r="BF13" s="23">
        <f>(BE13-'0. Current system'!$G13)/'0. Current system'!$G13</f>
        <v>-0.49876516995640607</v>
      </c>
      <c r="BG13" s="20">
        <f>(BE13-'1. Diesel, no storage'!$G13)/'1. Diesel, no storage'!$G13</f>
        <v>-0.18824403676171433</v>
      </c>
      <c r="BH13" s="20">
        <f t="shared" si="7"/>
        <v>-1.8998162159232449E-2</v>
      </c>
      <c r="BJ13">
        <f t="shared" si="8"/>
        <v>27096.164941956304</v>
      </c>
      <c r="BQ13" s="1"/>
      <c r="BR13" s="4" t="s">
        <v>22</v>
      </c>
      <c r="BS13" s="7">
        <v>45</v>
      </c>
      <c r="BT13" s="7">
        <f t="shared" si="3"/>
        <v>90</v>
      </c>
      <c r="BV13" s="4" t="s">
        <v>18</v>
      </c>
      <c r="BW13" s="7">
        <v>104.656673</v>
      </c>
      <c r="BX13" s="23">
        <f>(BW13-'0. Current system'!$G13)/'0. Current system'!$G13</f>
        <v>-0.47112410828126566</v>
      </c>
      <c r="BY13" s="20">
        <f>(BW13-'1. Diesel, no storage'!$G13)/'1. Diesel, no storage'!$G13</f>
        <v>-0.14347899790142407</v>
      </c>
      <c r="BZ13" s="20">
        <f t="shared" si="9"/>
        <v>3.5100098132903247E-2</v>
      </c>
      <c r="CI13" s="1"/>
      <c r="CJ13" s="4" t="s">
        <v>22</v>
      </c>
      <c r="CK13" s="7">
        <v>45</v>
      </c>
      <c r="CL13" s="7">
        <f t="shared" si="10"/>
        <v>270</v>
      </c>
      <c r="CN13" s="4" t="s">
        <v>18</v>
      </c>
      <c r="CO13" s="7">
        <v>99.186918000000006</v>
      </c>
      <c r="CP13" s="23">
        <f>(CO13-'0. Current system'!$G13)/'0. Current system'!$G13</f>
        <v>-0.49876516995640607</v>
      </c>
      <c r="CQ13" s="20">
        <f>(CO13-'1. Diesel, no storage'!$G13)/'1. Diesel, no storage'!$G13</f>
        <v>-0.18824403676171433</v>
      </c>
      <c r="CR13" s="20">
        <f t="shared" si="11"/>
        <v>-1.8998162159232449E-2</v>
      </c>
      <c r="CW13" s="1"/>
      <c r="CX13" s="4" t="s">
        <v>22</v>
      </c>
      <c r="CY13" s="7">
        <v>38.037964000000002</v>
      </c>
      <c r="CZ13" s="7">
        <f t="shared" si="12"/>
        <v>304.30371200000002</v>
      </c>
      <c r="DB13" s="4" t="s">
        <v>18</v>
      </c>
      <c r="DC13" s="7">
        <v>99.414417999999998</v>
      </c>
      <c r="DD13" s="23">
        <f>(DC13-'0. Current system'!$G13)/'0. Current system'!$G13</f>
        <v>-0.49761551306480961</v>
      </c>
      <c r="DE13" s="20">
        <f>(DC13-'1. Diesel, no storage'!$G13)/'1. Diesel, no storage'!$G13</f>
        <v>-0.18638215330610877</v>
      </c>
      <c r="DF13" s="20">
        <f t="shared" si="13"/>
        <v>-1.6748088030416726E-2</v>
      </c>
      <c r="DK13" s="1"/>
    </row>
    <row r="14" spans="1:115">
      <c r="A14" s="1"/>
      <c r="B14" s="4" t="s">
        <v>30</v>
      </c>
      <c r="C14" s="7">
        <v>17.478104999999999</v>
      </c>
      <c r="D14" s="7">
        <f t="shared" si="0"/>
        <v>69.912419999999997</v>
      </c>
      <c r="F14" s="4" t="s">
        <v>19</v>
      </c>
      <c r="G14" s="7">
        <v>51.774779000000002</v>
      </c>
      <c r="H14" s="20">
        <f>(G14-'0. Current system'!$G14)/'0. Current system'!$G14</f>
        <v>-0.67065749010726261</v>
      </c>
      <c r="I14" s="20">
        <f>(G14-'1. Diesel, no storage'!$G14)/'1. Diesel, no storage'!$G14</f>
        <v>-0.21445636173049917</v>
      </c>
      <c r="S14" s="1"/>
      <c r="T14" s="4" t="s">
        <v>30</v>
      </c>
      <c r="U14" s="7">
        <v>17.478104999999999</v>
      </c>
      <c r="V14" s="7">
        <f t="shared" si="4"/>
        <v>69.912419999999997</v>
      </c>
      <c r="X14" s="4" t="s">
        <v>19</v>
      </c>
      <c r="Y14" s="7">
        <v>51.774779000000002</v>
      </c>
      <c r="Z14" s="23">
        <f>(Y14-'0. Current system'!$G14)/'0. Current system'!$G14</f>
        <v>-0.67065749010726261</v>
      </c>
      <c r="AA14" s="20">
        <f>(Y14-'1. Diesel, no storage'!$G14)/'1. Diesel, no storage'!$G14</f>
        <v>-0.21445636173049917</v>
      </c>
      <c r="AB14" s="20">
        <f t="shared" si="5"/>
        <v>0</v>
      </c>
      <c r="AK14" s="1"/>
      <c r="AL14" s="4" t="s">
        <v>30</v>
      </c>
      <c r="AM14">
        <v>16.95636</v>
      </c>
      <c r="AN14" s="7">
        <f t="shared" si="1"/>
        <v>67.82544</v>
      </c>
      <c r="AP14" s="4" t="s">
        <v>19</v>
      </c>
      <c r="AQ14" s="7">
        <v>53.773851000000001</v>
      </c>
      <c r="AR14" s="23">
        <f>(AQ14-'0. Current system'!$G14)/'0. Current system'!$G14</f>
        <v>-0.65794127185095097</v>
      </c>
      <c r="AS14" s="20">
        <f>(AQ14-'1. Diesel, no storage'!$G14)/'1. Diesel, no storage'!$G14</f>
        <v>-0.18412579688071612</v>
      </c>
      <c r="AT14" s="20">
        <f t="shared" si="6"/>
        <v>3.8610922897420734E-2</v>
      </c>
      <c r="AY14" s="1"/>
      <c r="AZ14" s="4" t="s">
        <v>30</v>
      </c>
      <c r="BA14" s="7">
        <v>11.65207</v>
      </c>
      <c r="BB14" s="7">
        <f t="shared" si="2"/>
        <v>69.912419999999997</v>
      </c>
      <c r="BD14" s="4" t="s">
        <v>19</v>
      </c>
      <c r="BE14" s="7">
        <v>51.647039999999997</v>
      </c>
      <c r="BF14" s="23">
        <f>(BE14-'0. Current system'!$G14)/'0. Current system'!$G14</f>
        <v>-0.67147004563494894</v>
      </c>
      <c r="BG14" s="20">
        <f>(BE14-'1. Diesel, no storage'!$G14)/'1. Diesel, no storage'!$G14</f>
        <v>-0.21639445901931448</v>
      </c>
      <c r="BH14" s="20">
        <f t="shared" si="7"/>
        <v>-2.4672051231740722E-3</v>
      </c>
      <c r="BJ14">
        <f t="shared" si="8"/>
        <v>9405.783324864</v>
      </c>
      <c r="BQ14" s="1"/>
      <c r="BR14" s="4" t="s">
        <v>30</v>
      </c>
      <c r="BS14" s="7">
        <v>30</v>
      </c>
      <c r="BT14" s="7">
        <f t="shared" si="3"/>
        <v>60</v>
      </c>
      <c r="BV14" s="4" t="s">
        <v>19</v>
      </c>
      <c r="BW14" s="7">
        <v>52.201220999999997</v>
      </c>
      <c r="BX14" s="23">
        <f>(BW14-'0. Current system'!$G14)/'0. Current system'!$G14</f>
        <v>-0.66794486667716202</v>
      </c>
      <c r="BY14" s="20">
        <f>(BW14-'1. Diesel, no storage'!$G14)/'1. Diesel, no storage'!$G14</f>
        <v>-0.207986246229071</v>
      </c>
      <c r="BZ14" s="20">
        <f t="shared" si="9"/>
        <v>8.2364813184426042E-3</v>
      </c>
      <c r="CI14" s="1"/>
      <c r="CJ14" s="4" t="s">
        <v>30</v>
      </c>
      <c r="CK14" s="7">
        <v>11.65207</v>
      </c>
      <c r="CL14" s="7">
        <f t="shared" si="10"/>
        <v>69.912419999999997</v>
      </c>
      <c r="CN14" s="4" t="s">
        <v>19</v>
      </c>
      <c r="CO14" s="7">
        <v>51.647039999999997</v>
      </c>
      <c r="CP14" s="23">
        <f>(CO14-'0. Current system'!$G14)/'0. Current system'!$G14</f>
        <v>-0.67147004563494894</v>
      </c>
      <c r="CQ14" s="20">
        <f>(CO14-'1. Diesel, no storage'!$G14)/'1. Diesel, no storage'!$G14</f>
        <v>-0.21639445901931448</v>
      </c>
      <c r="CR14" s="20">
        <f t="shared" si="11"/>
        <v>-2.4672051231740722E-3</v>
      </c>
      <c r="CW14" s="1"/>
      <c r="CX14" s="4" t="s">
        <v>30</v>
      </c>
      <c r="CY14" s="7">
        <v>8.7390530000000002</v>
      </c>
      <c r="CZ14" s="7">
        <f t="shared" si="12"/>
        <v>69.912424000000001</v>
      </c>
      <c r="DB14" s="4" t="s">
        <v>19</v>
      </c>
      <c r="DC14" s="7">
        <v>51.60859</v>
      </c>
      <c r="DD14" s="23">
        <f>(DC14-'0. Current system'!$G14)/'0. Current system'!$G14</f>
        <v>-0.67171462841733753</v>
      </c>
      <c r="DE14" s="20">
        <f>(DC14-'1. Diesel, no storage'!$G14)/'1. Diesel, no storage'!$G14</f>
        <v>-0.21697783481492069</v>
      </c>
      <c r="DF14" s="20">
        <f t="shared" si="13"/>
        <v>-3.2098447006408816E-3</v>
      </c>
      <c r="DK14" s="1"/>
    </row>
    <row r="15" spans="1:115">
      <c r="A15" s="1"/>
      <c r="S15" s="1"/>
      <c r="AK15" s="1"/>
      <c r="AY15" s="1"/>
      <c r="BQ15" s="1"/>
      <c r="CI15" s="1"/>
      <c r="CW15" s="1"/>
      <c r="DK15" s="1"/>
    </row>
    <row r="16" spans="1:115">
      <c r="A16" s="1"/>
      <c r="B16" t="s">
        <v>20</v>
      </c>
      <c r="S16" s="1"/>
      <c r="T16" t="s">
        <v>20</v>
      </c>
      <c r="AK16" s="1"/>
      <c r="AL16" t="s">
        <v>20</v>
      </c>
      <c r="AY16" s="1"/>
      <c r="AZ16" t="s">
        <v>20</v>
      </c>
      <c r="BJ16">
        <f>SUM(BJ5:BJ14)/SUM(BJ32:BJ41)</f>
        <v>90.056618333206686</v>
      </c>
      <c r="BQ16" s="1"/>
      <c r="BR16" t="s">
        <v>20</v>
      </c>
      <c r="CI16" s="1"/>
      <c r="CJ16" t="s">
        <v>20</v>
      </c>
      <c r="CW16" s="1"/>
      <c r="CX16" t="s">
        <v>20</v>
      </c>
      <c r="DK16" s="1"/>
    </row>
    <row r="17" spans="1:115" ht="44.25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 t="s">
        <v>157</v>
      </c>
      <c r="K17" s="10" t="s">
        <v>158</v>
      </c>
      <c r="L17" s="10"/>
      <c r="M17" s="10"/>
      <c r="N17" s="10"/>
      <c r="O17" s="10"/>
      <c r="P17" s="10"/>
      <c r="Q17" s="10"/>
      <c r="R17" s="10"/>
      <c r="S17" s="1"/>
      <c r="T17" s="2" t="s">
        <v>0</v>
      </c>
      <c r="U17" s="2" t="s">
        <v>1</v>
      </c>
      <c r="V17" s="2" t="s">
        <v>2</v>
      </c>
      <c r="W17" s="2" t="s">
        <v>3</v>
      </c>
      <c r="X17" s="2" t="s">
        <v>4</v>
      </c>
      <c r="Y17" s="2" t="s">
        <v>5</v>
      </c>
      <c r="Z17" s="2" t="s">
        <v>6</v>
      </c>
      <c r="AA17" s="2" t="s">
        <v>7</v>
      </c>
      <c r="AB17" s="10" t="s">
        <v>157</v>
      </c>
      <c r="AC17" s="10" t="s">
        <v>158</v>
      </c>
      <c r="AD17" s="10"/>
      <c r="AE17" s="10"/>
      <c r="AF17" s="10"/>
      <c r="AG17" s="10"/>
      <c r="AH17" s="10"/>
      <c r="AI17" s="10"/>
      <c r="AJ17" s="10"/>
      <c r="AK17" s="1"/>
      <c r="AL17" s="2" t="s">
        <v>0</v>
      </c>
      <c r="AM17" s="2" t="s">
        <v>1</v>
      </c>
      <c r="AN17" s="2" t="s">
        <v>2</v>
      </c>
      <c r="AO17" s="2" t="s">
        <v>3</v>
      </c>
      <c r="AP17" s="2" t="s">
        <v>4</v>
      </c>
      <c r="AQ17" s="2" t="s">
        <v>5</v>
      </c>
      <c r="AR17" s="2" t="s">
        <v>6</v>
      </c>
      <c r="AS17" s="2" t="s">
        <v>7</v>
      </c>
      <c r="AT17" s="10" t="s">
        <v>157</v>
      </c>
      <c r="AU17" s="10" t="s">
        <v>158</v>
      </c>
      <c r="AY17" s="1"/>
      <c r="AZ17" s="2" t="s">
        <v>0</v>
      </c>
      <c r="BA17" s="2" t="s">
        <v>1</v>
      </c>
      <c r="BB17" s="2" t="s">
        <v>2</v>
      </c>
      <c r="BC17" s="2" t="s">
        <v>3</v>
      </c>
      <c r="BD17" s="2" t="s">
        <v>4</v>
      </c>
      <c r="BE17" s="2" t="s">
        <v>5</v>
      </c>
      <c r="BF17" s="2" t="s">
        <v>6</v>
      </c>
      <c r="BG17" s="2" t="s">
        <v>7</v>
      </c>
      <c r="BH17" s="10" t="s">
        <v>157</v>
      </c>
      <c r="BI17" s="10" t="s">
        <v>158</v>
      </c>
      <c r="BQ17" s="1"/>
      <c r="BR17" s="2" t="s">
        <v>0</v>
      </c>
      <c r="BS17" s="2" t="s">
        <v>1</v>
      </c>
      <c r="BT17" s="2" t="s">
        <v>2</v>
      </c>
      <c r="BU17" s="2" t="s">
        <v>3</v>
      </c>
      <c r="BV17" s="2" t="s">
        <v>4</v>
      </c>
      <c r="BW17" s="2" t="s">
        <v>5</v>
      </c>
      <c r="BX17" s="2" t="s">
        <v>6</v>
      </c>
      <c r="BY17" s="2" t="s">
        <v>7</v>
      </c>
      <c r="BZ17" s="10" t="s">
        <v>157</v>
      </c>
      <c r="CA17" s="10" t="s">
        <v>158</v>
      </c>
      <c r="CB17" s="10"/>
      <c r="CC17" s="10"/>
      <c r="CD17" s="10"/>
      <c r="CE17" s="10"/>
      <c r="CF17" s="10"/>
      <c r="CG17" s="10"/>
      <c r="CI17" s="1"/>
      <c r="CJ17" s="2" t="s">
        <v>0</v>
      </c>
      <c r="CK17" s="2" t="s">
        <v>1</v>
      </c>
      <c r="CL17" s="2" t="s">
        <v>2</v>
      </c>
      <c r="CM17" s="2" t="s">
        <v>3</v>
      </c>
      <c r="CN17" s="2" t="s">
        <v>4</v>
      </c>
      <c r="CO17" s="2" t="s">
        <v>5</v>
      </c>
      <c r="CP17" s="2" t="s">
        <v>6</v>
      </c>
      <c r="CQ17" s="2" t="s">
        <v>7</v>
      </c>
      <c r="CR17" s="10" t="s">
        <v>157</v>
      </c>
      <c r="CS17" s="10" t="s">
        <v>158</v>
      </c>
      <c r="CT17" s="10"/>
      <c r="CU17" s="10"/>
      <c r="CV17" s="10"/>
      <c r="CW17" s="1"/>
      <c r="CX17" s="2" t="s">
        <v>0</v>
      </c>
      <c r="CY17" s="2" t="s">
        <v>1</v>
      </c>
      <c r="CZ17" s="2" t="s">
        <v>2</v>
      </c>
      <c r="DA17" s="2" t="s">
        <v>3</v>
      </c>
      <c r="DB17" s="2" t="s">
        <v>4</v>
      </c>
      <c r="DC17" s="2" t="s">
        <v>5</v>
      </c>
      <c r="DD17" s="2" t="s">
        <v>6</v>
      </c>
      <c r="DE17" s="2" t="s">
        <v>7</v>
      </c>
      <c r="DF17" s="10" t="s">
        <v>157</v>
      </c>
      <c r="DG17" s="10" t="s">
        <v>158</v>
      </c>
      <c r="DH17" s="10"/>
      <c r="DI17" s="10"/>
      <c r="DJ17" s="10"/>
      <c r="DK17" s="1"/>
    </row>
    <row r="18" spans="1:115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K18" s="10"/>
      <c r="L18" s="10"/>
      <c r="M18" s="10"/>
      <c r="N18" s="10"/>
      <c r="O18" s="10"/>
      <c r="P18" s="10"/>
      <c r="Q18" s="10"/>
      <c r="R18" s="10"/>
      <c r="S18" s="1"/>
      <c r="T18" s="2" t="s">
        <v>8</v>
      </c>
      <c r="U18" s="2"/>
      <c r="V18" s="2"/>
      <c r="W18" s="2"/>
      <c r="X18" s="2"/>
      <c r="Y18" s="2"/>
      <c r="Z18" s="2"/>
      <c r="AA18" s="2"/>
      <c r="AB18" s="10"/>
      <c r="AC18" s="10"/>
      <c r="AD18" s="10"/>
      <c r="AE18" s="10"/>
      <c r="AF18" s="10"/>
      <c r="AG18" s="10"/>
      <c r="AH18" s="10"/>
      <c r="AI18" s="10"/>
      <c r="AJ18" s="10"/>
      <c r="AK18" s="1"/>
      <c r="AL18" s="2" t="s">
        <v>8</v>
      </c>
      <c r="AM18" s="2"/>
      <c r="AN18" s="2"/>
      <c r="AO18" s="2"/>
      <c r="AP18" s="2"/>
      <c r="AQ18" s="2"/>
      <c r="AR18" s="2"/>
      <c r="AS18" s="2"/>
      <c r="AT18" s="10"/>
      <c r="AU18" s="10"/>
      <c r="AY18" s="1"/>
      <c r="AZ18" s="2" t="s">
        <v>8</v>
      </c>
      <c r="BA18" s="2"/>
      <c r="BB18" s="2"/>
      <c r="BC18" s="2"/>
      <c r="BD18" s="2"/>
      <c r="BE18" s="2"/>
      <c r="BF18" s="2"/>
      <c r="BG18" s="2"/>
      <c r="BH18" s="10"/>
      <c r="BI18" s="10"/>
      <c r="BQ18" s="1"/>
      <c r="BR18" s="2" t="s">
        <v>8</v>
      </c>
      <c r="BS18" s="2"/>
      <c r="BT18" s="2"/>
      <c r="BU18" s="2"/>
      <c r="BV18" s="2"/>
      <c r="BW18" s="2"/>
      <c r="BX18" s="2"/>
      <c r="BY18" s="2"/>
      <c r="BZ18" s="10"/>
      <c r="CA18" s="10"/>
      <c r="CB18" s="10"/>
      <c r="CC18" s="10"/>
      <c r="CD18" s="10"/>
      <c r="CE18" s="10"/>
      <c r="CF18" s="10"/>
      <c r="CG18" s="10"/>
      <c r="CI18" s="1"/>
      <c r="CJ18" s="2" t="s">
        <v>8</v>
      </c>
      <c r="CK18" s="2"/>
      <c r="CL18" s="2"/>
      <c r="CM18" s="2"/>
      <c r="CN18" s="2"/>
      <c r="CO18" s="2"/>
      <c r="CP18" s="2"/>
      <c r="CQ18" s="2"/>
      <c r="CR18" s="10"/>
      <c r="CS18" s="10"/>
      <c r="CT18" s="10"/>
      <c r="CU18" s="10"/>
      <c r="CV18" s="10"/>
      <c r="CW18" s="1"/>
      <c r="CX18" s="2" t="s">
        <v>8</v>
      </c>
      <c r="CY18" s="2"/>
      <c r="CZ18" s="2"/>
      <c r="DA18" s="2"/>
      <c r="DB18" s="2"/>
      <c r="DC18" s="2"/>
      <c r="DD18" s="2"/>
      <c r="DE18" s="2"/>
      <c r="DF18" s="10"/>
      <c r="DG18" s="10"/>
      <c r="DH18" s="10"/>
      <c r="DI18" s="10"/>
      <c r="DJ18" s="10"/>
      <c r="DK18" s="1"/>
    </row>
    <row r="19" spans="1:115">
      <c r="A19" s="1"/>
      <c r="B19" s="2" t="s">
        <v>9</v>
      </c>
      <c r="C19" s="3" t="s">
        <v>10</v>
      </c>
      <c r="D19" s="3" t="s">
        <v>10</v>
      </c>
      <c r="E19" s="19">
        <v>38.739992000000001</v>
      </c>
      <c r="F19" s="19" t="s">
        <v>10</v>
      </c>
      <c r="G19" s="19" t="s">
        <v>10</v>
      </c>
      <c r="H19" s="19">
        <v>108.285309</v>
      </c>
      <c r="I19" s="19">
        <v>29.686544999999999</v>
      </c>
      <c r="J19" s="47">
        <f>H19/('Max capacities'!$E4)</f>
        <v>0.29266299729729728</v>
      </c>
      <c r="K19" s="47">
        <f>I19/('Max capacities'!$F4)</f>
        <v>0.29686544999999998</v>
      </c>
      <c r="L19" s="47"/>
      <c r="M19" s="47"/>
      <c r="N19" s="47"/>
      <c r="O19" s="47"/>
      <c r="P19" s="47"/>
      <c r="Q19" s="47"/>
      <c r="R19" s="47"/>
      <c r="S19" s="1"/>
      <c r="T19" s="2" t="s">
        <v>9</v>
      </c>
      <c r="U19" s="3" t="s">
        <v>10</v>
      </c>
      <c r="V19" s="3" t="s">
        <v>10</v>
      </c>
      <c r="W19" s="3">
        <v>38.739992000000001</v>
      </c>
      <c r="X19" s="3" t="s">
        <v>10</v>
      </c>
      <c r="Y19" s="3" t="s">
        <v>10</v>
      </c>
      <c r="Z19" s="3">
        <v>108.285309</v>
      </c>
      <c r="AA19" s="3">
        <v>29.686544999999999</v>
      </c>
      <c r="AB19" s="47">
        <f>Z19/(0.5*'Max capacities'!$E4)</f>
        <v>0.58532599459459456</v>
      </c>
      <c r="AC19" s="47">
        <f>AA19/(0.5*'Max capacities'!$F4)</f>
        <v>0.59373089999999995</v>
      </c>
      <c r="AD19" s="11"/>
      <c r="AE19" s="11"/>
      <c r="AF19" s="11"/>
      <c r="AG19" s="11"/>
      <c r="AH19" s="11"/>
      <c r="AI19" s="11"/>
      <c r="AJ19" s="11"/>
      <c r="AK19" s="1"/>
      <c r="AL19" s="2" t="s">
        <v>9</v>
      </c>
      <c r="AM19" s="3" t="s">
        <v>10</v>
      </c>
      <c r="AN19" s="3" t="s">
        <v>10</v>
      </c>
      <c r="AO19" s="19">
        <v>38.739992000000001</v>
      </c>
      <c r="AP19" s="19" t="s">
        <v>10</v>
      </c>
      <c r="AQ19" s="19" t="s">
        <v>10</v>
      </c>
      <c r="AR19" s="19">
        <v>108.285309</v>
      </c>
      <c r="AS19" s="19">
        <v>29.686544999999999</v>
      </c>
      <c r="AT19" s="47">
        <f>AR19/('Max capacities'!$F4)</f>
        <v>1.08285309</v>
      </c>
      <c r="AU19" s="47">
        <f>AS19/('Max capacities'!$F4)</f>
        <v>0.29686544999999998</v>
      </c>
      <c r="AY19" s="1"/>
      <c r="AZ19" s="2" t="s">
        <v>9</v>
      </c>
      <c r="BA19" s="3" t="s">
        <v>10</v>
      </c>
      <c r="BB19" s="3" t="s">
        <v>10</v>
      </c>
      <c r="BC19" s="19">
        <v>33.032708</v>
      </c>
      <c r="BD19" s="19" t="s">
        <v>10</v>
      </c>
      <c r="BE19" s="19" t="s">
        <v>10</v>
      </c>
      <c r="BF19" s="19">
        <v>157.82086100000001</v>
      </c>
      <c r="BG19" s="19">
        <v>17.674772999999998</v>
      </c>
      <c r="BH19" s="47">
        <f>BF19/('Max capacities'!$E4)</f>
        <v>0.4265428675675676</v>
      </c>
      <c r="BI19" s="47">
        <f>BG19/('Max capacities'!$F4)</f>
        <v>0.17674772999999999</v>
      </c>
      <c r="BQ19" s="1"/>
      <c r="BR19" s="2" t="s">
        <v>9</v>
      </c>
      <c r="BS19" s="3" t="s">
        <v>10</v>
      </c>
      <c r="BT19" s="3" t="s">
        <v>10</v>
      </c>
      <c r="BU19" s="3">
        <v>45.845540999999997</v>
      </c>
      <c r="BV19" s="3" t="s">
        <v>10</v>
      </c>
      <c r="BW19" s="3" t="s">
        <v>10</v>
      </c>
      <c r="BX19" s="19">
        <v>55.841512999999999</v>
      </c>
      <c r="BY19" s="19">
        <v>42.307639000000002</v>
      </c>
      <c r="BZ19" s="47">
        <f>BX19/(0.5*'Max capacities'!$E4)</f>
        <v>0.30184601621621621</v>
      </c>
      <c r="CA19" s="47">
        <f>BY19/(0.5*'Max capacities'!$F4)</f>
        <v>0.84615278000000005</v>
      </c>
      <c r="CB19" s="47"/>
      <c r="CC19" s="47"/>
      <c r="CD19" s="47"/>
      <c r="CE19" s="47"/>
      <c r="CF19" s="47"/>
      <c r="CG19" s="47"/>
      <c r="CI19" s="1"/>
      <c r="CJ19" s="2" t="s">
        <v>9</v>
      </c>
      <c r="CK19" s="3" t="s">
        <v>10</v>
      </c>
      <c r="CL19" s="3" t="s">
        <v>10</v>
      </c>
      <c r="CM19" s="3">
        <v>33.032708</v>
      </c>
      <c r="CN19" s="3" t="s">
        <v>10</v>
      </c>
      <c r="CO19" s="3" t="s">
        <v>10</v>
      </c>
      <c r="CP19" s="3">
        <v>157.82086100000001</v>
      </c>
      <c r="CQ19" s="3">
        <v>17.674772999999998</v>
      </c>
      <c r="CR19" s="47">
        <f>CP19/(0.5*'Max capacities'!$E4)</f>
        <v>0.85308573513513519</v>
      </c>
      <c r="CS19" s="47">
        <f>CQ19/(0.5*'Max capacities'!$F4)</f>
        <v>0.35349545999999998</v>
      </c>
      <c r="CT19" s="47"/>
      <c r="CU19" s="47"/>
      <c r="CV19" s="47"/>
      <c r="CW19" s="1"/>
      <c r="CX19" s="2" t="s">
        <v>9</v>
      </c>
      <c r="CY19" s="3" t="s">
        <v>10</v>
      </c>
      <c r="CZ19" s="3" t="s">
        <v>10</v>
      </c>
      <c r="DA19" s="3">
        <v>30.788121</v>
      </c>
      <c r="DB19" s="3" t="s">
        <v>10</v>
      </c>
      <c r="DC19" s="3" t="s">
        <v>10</v>
      </c>
      <c r="DD19" s="19">
        <v>165.10281699999999</v>
      </c>
      <c r="DE19" s="19">
        <v>17.855575999999999</v>
      </c>
      <c r="DF19" s="47">
        <f>DD19/(0.5*'Max capacities'!$E4)</f>
        <v>0.89244765945945936</v>
      </c>
      <c r="DG19" s="47">
        <f>DE19/(0.5*'Max capacities'!$F4)</f>
        <v>0.35711151999999996</v>
      </c>
      <c r="DH19" s="47"/>
      <c r="DI19" s="47"/>
      <c r="DJ19" s="47"/>
      <c r="DK19" s="1"/>
    </row>
    <row r="20" spans="1:115">
      <c r="A20" s="1"/>
      <c r="B20" s="2" t="s">
        <v>11</v>
      </c>
      <c r="C20" s="3">
        <v>10</v>
      </c>
      <c r="D20" s="3" t="s">
        <v>10</v>
      </c>
      <c r="E20" s="19">
        <v>80.694682</v>
      </c>
      <c r="F20" s="19" t="s">
        <v>10</v>
      </c>
      <c r="G20" s="19" t="s">
        <v>10</v>
      </c>
      <c r="H20" s="19">
        <v>273.04379399999999</v>
      </c>
      <c r="I20" s="19">
        <v>93.300533000000001</v>
      </c>
      <c r="J20" s="47">
        <f>H20/('Max capacities'!$E5)</f>
        <v>0.47902420000000001</v>
      </c>
      <c r="K20" s="47">
        <f>I20/('Max capacities'!$F5)</f>
        <v>0.62200355333333335</v>
      </c>
      <c r="L20" s="47"/>
      <c r="M20" s="47"/>
      <c r="N20" s="47"/>
      <c r="O20" s="47"/>
      <c r="P20" s="47"/>
      <c r="Q20" s="47"/>
      <c r="R20" s="47"/>
      <c r="S20" s="1"/>
      <c r="T20" s="2" t="s">
        <v>11</v>
      </c>
      <c r="U20" s="3">
        <v>10</v>
      </c>
      <c r="V20" s="3" t="s">
        <v>10</v>
      </c>
      <c r="W20" s="3">
        <v>84.508250000000004</v>
      </c>
      <c r="X20" s="3" t="s">
        <v>10</v>
      </c>
      <c r="Y20" s="3" t="s">
        <v>10</v>
      </c>
      <c r="Z20" s="3">
        <v>285</v>
      </c>
      <c r="AA20" s="3">
        <v>75</v>
      </c>
      <c r="AB20" s="47">
        <f>Z20/(0.5*'Max capacities'!$E5)</f>
        <v>1</v>
      </c>
      <c r="AC20" s="47">
        <f>AA20/(0.5*'Max capacities'!$F5)</f>
        <v>1</v>
      </c>
      <c r="AD20" s="11"/>
      <c r="AE20" s="11"/>
      <c r="AF20" s="11"/>
      <c r="AG20" s="11"/>
      <c r="AH20" s="11"/>
      <c r="AI20" s="11"/>
      <c r="AJ20" s="11"/>
      <c r="AK20" s="1"/>
      <c r="AL20" s="2" t="s">
        <v>11</v>
      </c>
      <c r="AM20" s="3">
        <v>10</v>
      </c>
      <c r="AN20" s="3" t="s">
        <v>10</v>
      </c>
      <c r="AO20" s="19">
        <v>84.218776000000005</v>
      </c>
      <c r="AP20" s="19" t="s">
        <v>10</v>
      </c>
      <c r="AQ20" s="19" t="s">
        <v>10</v>
      </c>
      <c r="AR20" s="19">
        <v>240.987853</v>
      </c>
      <c r="AS20" s="19">
        <v>101.427784</v>
      </c>
      <c r="AT20" s="47">
        <f>AR20/('Max capacities'!$F5)</f>
        <v>1.6065856866666666</v>
      </c>
      <c r="AU20" s="47">
        <f>AS20/('Max capacities'!$F5)</f>
        <v>0.67618522666666669</v>
      </c>
      <c r="AY20" s="1"/>
      <c r="AZ20" s="2" t="s">
        <v>11</v>
      </c>
      <c r="BA20" s="3">
        <v>10</v>
      </c>
      <c r="BB20" s="3" t="s">
        <v>10</v>
      </c>
      <c r="BC20" s="19">
        <v>69.266918000000004</v>
      </c>
      <c r="BD20" s="19" t="s">
        <v>10</v>
      </c>
      <c r="BE20" s="19" t="s">
        <v>10</v>
      </c>
      <c r="BF20" s="19">
        <v>350.62498699999998</v>
      </c>
      <c r="BG20" s="19">
        <v>76.330600000000004</v>
      </c>
      <c r="BH20" s="47">
        <f>BF20/('Max capacities'!$E5)</f>
        <v>0.61513155614035087</v>
      </c>
      <c r="BI20" s="47">
        <f>BG20/('Max capacities'!$F5)</f>
        <v>0.50887066666666669</v>
      </c>
      <c r="BQ20" s="1"/>
      <c r="BR20" s="2" t="s">
        <v>11</v>
      </c>
      <c r="BS20" s="3">
        <v>10</v>
      </c>
      <c r="BT20" s="3" t="s">
        <v>10</v>
      </c>
      <c r="BU20" s="3">
        <v>96.423381000000006</v>
      </c>
      <c r="BV20" s="3" t="s">
        <v>10</v>
      </c>
      <c r="BW20" s="3" t="s">
        <v>10</v>
      </c>
      <c r="BX20" s="19">
        <v>226.69055499999999</v>
      </c>
      <c r="BY20" s="19">
        <v>75</v>
      </c>
      <c r="BZ20" s="47">
        <f>BX20/(0.5*'Max capacities'!$E5)</f>
        <v>0.79540545614035085</v>
      </c>
      <c r="CA20" s="47">
        <f>BY20/(0.5*'Max capacities'!$F5)</f>
        <v>1</v>
      </c>
      <c r="CB20" s="47"/>
      <c r="CC20" s="47"/>
      <c r="CD20" s="47"/>
      <c r="CE20" s="47"/>
      <c r="CF20" s="47"/>
      <c r="CG20" s="47"/>
      <c r="CI20" s="1"/>
      <c r="CJ20" s="2" t="s">
        <v>11</v>
      </c>
      <c r="CK20" s="3">
        <v>10</v>
      </c>
      <c r="CL20" s="3" t="s">
        <v>10</v>
      </c>
      <c r="CM20" s="3">
        <v>84.373125000000002</v>
      </c>
      <c r="CN20" s="3" t="s">
        <v>10</v>
      </c>
      <c r="CO20" s="3" t="s">
        <v>10</v>
      </c>
      <c r="CP20" s="3">
        <v>285</v>
      </c>
      <c r="CQ20" s="3">
        <v>75</v>
      </c>
      <c r="CR20" s="47">
        <f>CP20/(0.5*'Max capacities'!$E5)</f>
        <v>1</v>
      </c>
      <c r="CS20" s="47">
        <f>CQ20/(0.5*'Max capacities'!$F5)</f>
        <v>1</v>
      </c>
      <c r="CT20" s="47"/>
      <c r="CU20" s="47"/>
      <c r="CV20" s="47"/>
      <c r="CW20" s="1"/>
      <c r="CX20" s="2" t="s">
        <v>11</v>
      </c>
      <c r="CY20" s="3">
        <v>10</v>
      </c>
      <c r="CZ20" s="3" t="s">
        <v>10</v>
      </c>
      <c r="DA20" s="3">
        <v>81.916556</v>
      </c>
      <c r="DB20" s="3" t="s">
        <v>10</v>
      </c>
      <c r="DC20" s="3" t="s">
        <v>10</v>
      </c>
      <c r="DD20" s="19">
        <v>285</v>
      </c>
      <c r="DE20" s="19">
        <v>75</v>
      </c>
      <c r="DF20" s="47">
        <f>DD20/(0.5*'Max capacities'!$E5)</f>
        <v>1</v>
      </c>
      <c r="DG20" s="47">
        <f>DE20/(0.5*'Max capacities'!$F5)</f>
        <v>1</v>
      </c>
      <c r="DH20" s="47"/>
      <c r="DI20" s="47"/>
      <c r="DJ20" s="47"/>
      <c r="DK20" s="1"/>
    </row>
    <row r="21" spans="1:115">
      <c r="A21" s="1"/>
      <c r="B21" s="2" t="s">
        <v>12</v>
      </c>
      <c r="C21" s="3" t="s">
        <v>10</v>
      </c>
      <c r="D21" s="3" t="s">
        <v>10</v>
      </c>
      <c r="E21" s="19">
        <v>0</v>
      </c>
      <c r="F21" s="19">
        <v>15</v>
      </c>
      <c r="G21" s="19">
        <v>6.6</v>
      </c>
      <c r="H21" s="19">
        <v>0</v>
      </c>
      <c r="I21" s="19">
        <v>0</v>
      </c>
      <c r="J21" s="47">
        <f>H21/('Max capacities'!$E6)</f>
        <v>0</v>
      </c>
      <c r="K21" s="47">
        <f>I21/('Max capacities'!$F6)</f>
        <v>0</v>
      </c>
      <c r="L21" s="47"/>
      <c r="M21" s="47"/>
      <c r="N21" s="47"/>
      <c r="O21" s="47"/>
      <c r="P21" s="47"/>
      <c r="Q21" s="47"/>
      <c r="R21" s="47"/>
      <c r="S21" s="1"/>
      <c r="T21" s="2" t="s">
        <v>12</v>
      </c>
      <c r="U21" s="3" t="s">
        <v>10</v>
      </c>
      <c r="V21" s="3" t="s">
        <v>10</v>
      </c>
      <c r="W21" s="3">
        <v>0</v>
      </c>
      <c r="X21" s="3">
        <v>15</v>
      </c>
      <c r="Y21" s="3">
        <v>6.6</v>
      </c>
      <c r="Z21" s="3">
        <v>0</v>
      </c>
      <c r="AA21" s="3">
        <v>0</v>
      </c>
      <c r="AB21" s="47">
        <f>Z21/(0.5*'Max capacities'!$E6)</f>
        <v>0</v>
      </c>
      <c r="AC21" s="47">
        <f>AA21/(0.5*'Max capacities'!$F6)</f>
        <v>0</v>
      </c>
      <c r="AD21" s="11"/>
      <c r="AE21" s="11"/>
      <c r="AF21" s="11"/>
      <c r="AG21" s="11"/>
      <c r="AH21" s="11"/>
      <c r="AI21" s="11"/>
      <c r="AJ21" s="11"/>
      <c r="AK21" s="1"/>
      <c r="AL21" s="2" t="s">
        <v>12</v>
      </c>
      <c r="AM21" s="3" t="s">
        <v>10</v>
      </c>
      <c r="AN21" s="3" t="s">
        <v>10</v>
      </c>
      <c r="AO21" s="19">
        <v>0</v>
      </c>
      <c r="AP21" s="19">
        <v>15</v>
      </c>
      <c r="AQ21" s="19">
        <v>6.6</v>
      </c>
      <c r="AR21" s="19">
        <v>0</v>
      </c>
      <c r="AS21" s="19">
        <v>0</v>
      </c>
      <c r="AT21" s="47">
        <f>AR21/('Max capacities'!$F6)</f>
        <v>0</v>
      </c>
      <c r="AU21" s="47">
        <f>AS21/('Max capacities'!$F6)</f>
        <v>0</v>
      </c>
      <c r="AY21" s="1"/>
      <c r="AZ21" s="2" t="s">
        <v>12</v>
      </c>
      <c r="BA21" s="3" t="s">
        <v>10</v>
      </c>
      <c r="BB21" s="3" t="s">
        <v>10</v>
      </c>
      <c r="BC21" s="19">
        <v>0</v>
      </c>
      <c r="BD21" s="19">
        <v>15</v>
      </c>
      <c r="BE21" s="19">
        <v>6.6</v>
      </c>
      <c r="BF21" s="19">
        <v>0</v>
      </c>
      <c r="BG21" s="19">
        <v>0</v>
      </c>
      <c r="BH21" s="47">
        <f>BF21/('Max capacities'!$E6)</f>
        <v>0</v>
      </c>
      <c r="BI21" s="47">
        <f>BG21/('Max capacities'!$F6)</f>
        <v>0</v>
      </c>
      <c r="BQ21" s="1"/>
      <c r="BR21" s="2" t="s">
        <v>12</v>
      </c>
      <c r="BS21" s="3" t="s">
        <v>10</v>
      </c>
      <c r="BT21" s="3" t="s">
        <v>10</v>
      </c>
      <c r="BU21" s="3">
        <v>0</v>
      </c>
      <c r="BV21" s="3">
        <v>15</v>
      </c>
      <c r="BW21" s="3">
        <v>6.6</v>
      </c>
      <c r="BX21" s="19">
        <v>0</v>
      </c>
      <c r="BY21" s="19">
        <v>0</v>
      </c>
      <c r="BZ21" s="47">
        <f>BX21/(0.5*'Max capacities'!$E6)</f>
        <v>0</v>
      </c>
      <c r="CA21" s="47">
        <f>BY21/(0.5*'Max capacities'!$F6)</f>
        <v>0</v>
      </c>
      <c r="CB21" s="47"/>
      <c r="CC21" s="47"/>
      <c r="CD21" s="47"/>
      <c r="CE21" s="47"/>
      <c r="CF21" s="47"/>
      <c r="CG21" s="47"/>
      <c r="CI21" s="1"/>
      <c r="CJ21" s="2" t="s">
        <v>12</v>
      </c>
      <c r="CK21" s="3" t="s">
        <v>10</v>
      </c>
      <c r="CL21" s="3" t="s">
        <v>10</v>
      </c>
      <c r="CM21" s="3">
        <v>0</v>
      </c>
      <c r="CN21" s="3">
        <v>15</v>
      </c>
      <c r="CO21" s="3">
        <v>6.6</v>
      </c>
      <c r="CP21" s="3">
        <v>0</v>
      </c>
      <c r="CQ21" s="3">
        <v>0</v>
      </c>
      <c r="CR21" s="47">
        <f>CP21/(0.5*'Max capacities'!$E6)</f>
        <v>0</v>
      </c>
      <c r="CS21" s="47">
        <f>CQ21/(0.5*'Max capacities'!$F6)</f>
        <v>0</v>
      </c>
      <c r="CT21" s="47"/>
      <c r="CU21" s="47"/>
      <c r="CV21" s="47"/>
      <c r="CW21" s="1"/>
      <c r="CX21" s="2" t="s">
        <v>12</v>
      </c>
      <c r="CY21" s="3" t="s">
        <v>10</v>
      </c>
      <c r="CZ21" s="3" t="s">
        <v>10</v>
      </c>
      <c r="DA21" s="3">
        <v>0</v>
      </c>
      <c r="DB21" s="3">
        <v>15</v>
      </c>
      <c r="DC21" s="3">
        <v>6.6</v>
      </c>
      <c r="DD21" s="19">
        <v>0</v>
      </c>
      <c r="DE21" s="19">
        <v>0</v>
      </c>
      <c r="DF21" s="47">
        <f>DD21/(0.5*'Max capacities'!$E6)</f>
        <v>0</v>
      </c>
      <c r="DG21" s="47">
        <f>DE21/(0.5*'Max capacities'!$F6)</f>
        <v>0</v>
      </c>
      <c r="DH21" s="47"/>
      <c r="DI21" s="47"/>
      <c r="DJ21" s="47"/>
      <c r="DK21" s="1"/>
    </row>
    <row r="22" spans="1:115">
      <c r="A22" s="1"/>
      <c r="B22" s="2" t="s">
        <v>13</v>
      </c>
      <c r="C22" s="3">
        <v>10</v>
      </c>
      <c r="D22" s="3">
        <v>0</v>
      </c>
      <c r="E22" s="19">
        <v>114.960157</v>
      </c>
      <c r="F22" s="19">
        <v>44.808362000000002</v>
      </c>
      <c r="G22" s="19">
        <v>15</v>
      </c>
      <c r="H22" s="19">
        <v>498.58631000000003</v>
      </c>
      <c r="I22" s="19">
        <v>99.600110999999998</v>
      </c>
      <c r="J22" s="47">
        <f>H22/('Max capacities'!$E7)</f>
        <v>0.22663014090909092</v>
      </c>
      <c r="K22" s="47">
        <f>I22/('Max capacities'!$F7)</f>
        <v>0.16600018499999999</v>
      </c>
      <c r="L22" s="47"/>
      <c r="M22" s="47"/>
      <c r="N22" s="47"/>
      <c r="O22" s="47"/>
      <c r="P22" s="47"/>
      <c r="Q22" s="47"/>
      <c r="R22" s="47"/>
      <c r="S22" s="1"/>
      <c r="T22" s="2" t="s">
        <v>13</v>
      </c>
      <c r="U22" s="3">
        <v>10</v>
      </c>
      <c r="V22" s="3">
        <v>0</v>
      </c>
      <c r="W22" s="3">
        <v>114.960157</v>
      </c>
      <c r="X22" s="3">
        <v>44.808362000000002</v>
      </c>
      <c r="Y22" s="3">
        <v>15</v>
      </c>
      <c r="Z22" s="3">
        <v>498.58631000000003</v>
      </c>
      <c r="AA22" s="3">
        <v>99.600110999999998</v>
      </c>
      <c r="AB22" s="47">
        <f>Z22/(0.5*'Max capacities'!$E7)</f>
        <v>0.45326028181818184</v>
      </c>
      <c r="AC22" s="47">
        <f>AA22/(0.5*'Max capacities'!$F7)</f>
        <v>0.33200036999999999</v>
      </c>
      <c r="AD22" s="11"/>
      <c r="AE22" s="11"/>
      <c r="AF22" s="11"/>
      <c r="AG22" s="11"/>
      <c r="AH22" s="11"/>
      <c r="AI22" s="11"/>
      <c r="AJ22" s="11"/>
      <c r="AK22" s="1"/>
      <c r="AL22" s="2" t="s">
        <v>13</v>
      </c>
      <c r="AM22" s="3">
        <v>10</v>
      </c>
      <c r="AN22" s="3">
        <v>0</v>
      </c>
      <c r="AO22" s="19">
        <v>114.960157</v>
      </c>
      <c r="AP22" s="19">
        <v>44.808362000000002</v>
      </c>
      <c r="AQ22" s="19">
        <v>15</v>
      </c>
      <c r="AR22" s="19">
        <v>498.58631000000003</v>
      </c>
      <c r="AS22" s="19">
        <v>99.600110999999998</v>
      </c>
      <c r="AT22" s="47">
        <f>AR22/('Max capacities'!$F7)</f>
        <v>0.83097718333333337</v>
      </c>
      <c r="AU22" s="47">
        <f>AS22/('Max capacities'!$F7)</f>
        <v>0.16600018499999999</v>
      </c>
      <c r="AY22" s="1"/>
      <c r="AZ22" s="2" t="s">
        <v>13</v>
      </c>
      <c r="BA22" s="3">
        <v>10</v>
      </c>
      <c r="BB22" s="3">
        <v>0</v>
      </c>
      <c r="BC22" s="19">
        <v>119.44982400000001</v>
      </c>
      <c r="BD22" s="19">
        <v>14.7</v>
      </c>
      <c r="BE22" s="19">
        <v>15</v>
      </c>
      <c r="BF22" s="19">
        <v>682.44493</v>
      </c>
      <c r="BG22" s="19">
        <v>81.223618000000002</v>
      </c>
      <c r="BH22" s="47">
        <f>BF22/('Max capacities'!$E7)</f>
        <v>0.31020224090909093</v>
      </c>
      <c r="BI22" s="47">
        <f>BG22/('Max capacities'!$F7)</f>
        <v>0.13537269666666668</v>
      </c>
      <c r="BQ22" s="1"/>
      <c r="BR22" s="2" t="s">
        <v>13</v>
      </c>
      <c r="BS22" s="3">
        <v>10</v>
      </c>
      <c r="BT22" s="3">
        <v>0</v>
      </c>
      <c r="BU22" s="3">
        <v>139.655238</v>
      </c>
      <c r="BV22" s="3">
        <v>50</v>
      </c>
      <c r="BW22" s="3">
        <v>15</v>
      </c>
      <c r="BX22" s="19">
        <v>257.24154700000003</v>
      </c>
      <c r="BY22" s="19">
        <v>154.57250999999999</v>
      </c>
      <c r="BZ22" s="47">
        <f>BX22/(0.5*'Max capacities'!$E7)</f>
        <v>0.23385595181818183</v>
      </c>
      <c r="CA22" s="47">
        <f>BY22/(0.5*'Max capacities'!$F7)</f>
        <v>0.51524170000000002</v>
      </c>
      <c r="CB22" s="47"/>
      <c r="CC22" s="47"/>
      <c r="CD22" s="47"/>
      <c r="CE22" s="47"/>
      <c r="CF22" s="47"/>
      <c r="CG22" s="47"/>
      <c r="CI22" s="1"/>
      <c r="CJ22" s="2" t="s">
        <v>13</v>
      </c>
      <c r="CK22" s="3">
        <v>10</v>
      </c>
      <c r="CL22" s="3">
        <v>0</v>
      </c>
      <c r="CM22" s="3">
        <v>119.44982400000001</v>
      </c>
      <c r="CN22" s="3">
        <v>14.7</v>
      </c>
      <c r="CO22" s="3">
        <v>15</v>
      </c>
      <c r="CP22" s="3">
        <v>682.44493</v>
      </c>
      <c r="CQ22" s="3">
        <v>81.223618000000002</v>
      </c>
      <c r="CR22" s="47">
        <f>CP22/(0.5*'Max capacities'!$E7)</f>
        <v>0.62040448181818186</v>
      </c>
      <c r="CS22" s="47">
        <f>CQ22/(0.5*'Max capacities'!$F7)</f>
        <v>0.27074539333333336</v>
      </c>
      <c r="CT22" s="47"/>
      <c r="CU22" s="47"/>
      <c r="CV22" s="47"/>
      <c r="CW22" s="1"/>
      <c r="CX22" s="2" t="s">
        <v>13</v>
      </c>
      <c r="CY22" s="3">
        <v>10</v>
      </c>
      <c r="CZ22" s="3">
        <v>0</v>
      </c>
      <c r="DA22" s="3">
        <v>106.38674399999999</v>
      </c>
      <c r="DB22" s="3">
        <v>14.7</v>
      </c>
      <c r="DC22" s="3">
        <v>15</v>
      </c>
      <c r="DD22" s="19">
        <v>728.31302800000003</v>
      </c>
      <c r="DE22" s="19">
        <v>78.448207999999994</v>
      </c>
      <c r="DF22" s="47">
        <f>DD22/(0.5*'Max capacities'!$E7)</f>
        <v>0.6621027527272727</v>
      </c>
      <c r="DG22" s="47">
        <f>DE22/(0.5*'Max capacities'!$F7)</f>
        <v>0.26149402666666666</v>
      </c>
      <c r="DH22" s="47"/>
      <c r="DI22" s="47"/>
      <c r="DJ22" s="47"/>
      <c r="DK22" s="1"/>
    </row>
    <row r="23" spans="1:115">
      <c r="A23" s="1"/>
      <c r="B23" s="2" t="s">
        <v>14</v>
      </c>
      <c r="C23" s="3" t="s">
        <v>10</v>
      </c>
      <c r="D23" s="3" t="s">
        <v>10</v>
      </c>
      <c r="E23" s="19">
        <v>18.761590999999999</v>
      </c>
      <c r="F23" s="19">
        <v>2.8326210000000001</v>
      </c>
      <c r="G23" s="19">
        <v>0</v>
      </c>
      <c r="H23" s="19">
        <v>26.024614</v>
      </c>
      <c r="I23" s="19">
        <v>30.629539000000001</v>
      </c>
      <c r="J23" s="47">
        <f>H23/('Max capacities'!$E8)</f>
        <v>5.537151914893617E-2</v>
      </c>
      <c r="K23" s="47">
        <f>I23/('Max capacities'!$F8)</f>
        <v>0.25524615833333336</v>
      </c>
      <c r="L23" s="47"/>
      <c r="M23" s="47"/>
      <c r="N23" s="47"/>
      <c r="O23" s="47"/>
      <c r="P23" s="47"/>
      <c r="Q23" s="47"/>
      <c r="R23" s="47"/>
      <c r="S23" s="1"/>
      <c r="T23" s="2" t="s">
        <v>14</v>
      </c>
      <c r="U23" s="3" t="s">
        <v>10</v>
      </c>
      <c r="V23" s="3" t="s">
        <v>10</v>
      </c>
      <c r="W23" s="3">
        <v>18.761590999999999</v>
      </c>
      <c r="X23" s="3">
        <v>2.8326210000000001</v>
      </c>
      <c r="Y23" s="3">
        <v>0</v>
      </c>
      <c r="Z23" s="3">
        <v>26.024614</v>
      </c>
      <c r="AA23" s="3">
        <v>30.629539000000001</v>
      </c>
      <c r="AB23" s="47">
        <f>Z23/(0.5*'Max capacities'!$E8)</f>
        <v>0.11074303829787234</v>
      </c>
      <c r="AC23" s="47">
        <f>AA23/(0.5*'Max capacities'!$F8)</f>
        <v>0.51049231666666672</v>
      </c>
      <c r="AD23" s="11"/>
      <c r="AE23" s="11"/>
      <c r="AF23" s="11"/>
      <c r="AG23" s="11"/>
      <c r="AH23" s="11"/>
      <c r="AI23" s="11"/>
      <c r="AJ23" s="11"/>
      <c r="AK23" s="1"/>
      <c r="AL23" s="2" t="s">
        <v>14</v>
      </c>
      <c r="AM23" s="3" t="s">
        <v>10</v>
      </c>
      <c r="AN23" s="3" t="s">
        <v>10</v>
      </c>
      <c r="AO23" s="19">
        <v>16.950189999999999</v>
      </c>
      <c r="AP23" s="19">
        <v>5.8986340000000004</v>
      </c>
      <c r="AQ23" s="19">
        <v>0</v>
      </c>
      <c r="AR23" s="19">
        <v>23.802340000000001</v>
      </c>
      <c r="AS23" s="19">
        <v>28.326751999999999</v>
      </c>
      <c r="AT23" s="47">
        <f>AR23/('Max capacities'!$F8)</f>
        <v>0.19835283333333334</v>
      </c>
      <c r="AU23" s="47">
        <f>AS23/('Max capacities'!$F8)</f>
        <v>0.23605626666666665</v>
      </c>
      <c r="AY23" s="1"/>
      <c r="AZ23" s="2" t="s">
        <v>14</v>
      </c>
      <c r="BA23" s="3" t="s">
        <v>10</v>
      </c>
      <c r="BB23" s="3" t="s">
        <v>10</v>
      </c>
      <c r="BC23" s="19">
        <v>20.286762</v>
      </c>
      <c r="BD23" s="19">
        <v>0</v>
      </c>
      <c r="BE23" s="19">
        <v>0</v>
      </c>
      <c r="BF23" s="19">
        <v>30.693598999999999</v>
      </c>
      <c r="BG23" s="19">
        <v>31.989144</v>
      </c>
      <c r="BH23" s="47">
        <f>BF23/('Max capacities'!$E8)</f>
        <v>6.5305529787234043E-2</v>
      </c>
      <c r="BI23" s="47">
        <f>BG23/('Max capacities'!$F8)</f>
        <v>0.26657619999999999</v>
      </c>
      <c r="BQ23" s="1"/>
      <c r="BR23" s="2" t="s">
        <v>14</v>
      </c>
      <c r="BS23" s="3" t="s">
        <v>10</v>
      </c>
      <c r="BT23" s="3" t="s">
        <v>10</v>
      </c>
      <c r="BU23" s="3">
        <v>15.131589</v>
      </c>
      <c r="BV23" s="3">
        <v>10.781670999999999</v>
      </c>
      <c r="BW23" s="3">
        <v>0</v>
      </c>
      <c r="BX23" s="19">
        <v>19.808859000000002</v>
      </c>
      <c r="BY23" s="19">
        <v>23.107569000000002</v>
      </c>
      <c r="BZ23" s="47">
        <f>BX23/(0.5*'Max capacities'!$E8)</f>
        <v>8.4293017021276603E-2</v>
      </c>
      <c r="CA23" s="47">
        <f>BY23/(0.5*'Max capacities'!$F8)</f>
        <v>0.38512615</v>
      </c>
      <c r="CB23" s="47"/>
      <c r="CC23" s="47"/>
      <c r="CD23" s="47"/>
      <c r="CE23" s="47"/>
      <c r="CF23" s="47"/>
      <c r="CG23" s="47"/>
      <c r="CI23" s="1"/>
      <c r="CJ23" s="2" t="s">
        <v>14</v>
      </c>
      <c r="CK23" s="3" t="s">
        <v>10</v>
      </c>
      <c r="CL23" s="3" t="s">
        <v>10</v>
      </c>
      <c r="CM23" s="3">
        <v>20.286762</v>
      </c>
      <c r="CN23" s="3">
        <v>0</v>
      </c>
      <c r="CO23" s="3">
        <v>0</v>
      </c>
      <c r="CP23" s="3">
        <v>30.693598999999999</v>
      </c>
      <c r="CQ23" s="3">
        <v>31.989144</v>
      </c>
      <c r="CR23" s="47">
        <f>CP23/(0.5*'Max capacities'!$E8)</f>
        <v>0.13061105957446809</v>
      </c>
      <c r="CS23" s="47">
        <f>CQ23/(0.5*'Max capacities'!$F8)</f>
        <v>0.53315239999999997</v>
      </c>
      <c r="CT23" s="47"/>
      <c r="CU23" s="47"/>
      <c r="CV23" s="47"/>
      <c r="CW23" s="1"/>
      <c r="CX23" s="2" t="s">
        <v>14</v>
      </c>
      <c r="CY23" s="3" t="s">
        <v>10</v>
      </c>
      <c r="CZ23" s="3" t="s">
        <v>10</v>
      </c>
      <c r="DA23" s="3">
        <v>20.225878999999999</v>
      </c>
      <c r="DB23" s="3">
        <v>0</v>
      </c>
      <c r="DC23" s="3">
        <v>0</v>
      </c>
      <c r="DD23" s="19">
        <v>31.729144999999999</v>
      </c>
      <c r="DE23" s="19">
        <v>31.68516</v>
      </c>
      <c r="DF23" s="47">
        <f>DD23/(0.5*'Max capacities'!$E8)</f>
        <v>0.13501763829787233</v>
      </c>
      <c r="DG23" s="47">
        <f>DE23/(0.5*'Max capacities'!$F8)</f>
        <v>0.52808599999999994</v>
      </c>
      <c r="DH23" s="47"/>
      <c r="DI23" s="47"/>
      <c r="DJ23" s="47"/>
      <c r="DK23" s="1"/>
    </row>
    <row r="24" spans="1:115">
      <c r="A24" s="1"/>
      <c r="B24" s="2" t="s">
        <v>15</v>
      </c>
      <c r="C24" s="3" t="s">
        <v>10</v>
      </c>
      <c r="D24" s="3" t="s">
        <v>10</v>
      </c>
      <c r="E24" s="19">
        <v>30.555606000000001</v>
      </c>
      <c r="F24" s="19">
        <v>11.592594999999999</v>
      </c>
      <c r="G24" s="19" t="s">
        <v>10</v>
      </c>
      <c r="H24" s="19">
        <v>106.83393599999999</v>
      </c>
      <c r="I24" s="19">
        <v>26.617076999999998</v>
      </c>
      <c r="J24" s="47">
        <f>H24/('Max capacities'!$E9)</f>
        <v>0.13354242</v>
      </c>
      <c r="K24" s="47">
        <f>I24/('Max capacities'!$F9)</f>
        <v>0.133085385</v>
      </c>
      <c r="L24" s="47"/>
      <c r="M24" s="47"/>
      <c r="N24" s="47"/>
      <c r="O24" s="47"/>
      <c r="P24" s="47"/>
      <c r="Q24" s="47"/>
      <c r="R24" s="47"/>
      <c r="S24" s="1"/>
      <c r="T24" s="2" t="s">
        <v>15</v>
      </c>
      <c r="U24" s="3" t="s">
        <v>10</v>
      </c>
      <c r="V24" s="3" t="s">
        <v>10</v>
      </c>
      <c r="W24" s="3">
        <v>30.555606000000001</v>
      </c>
      <c r="X24" s="3">
        <v>11.592594999999999</v>
      </c>
      <c r="Y24" s="3" t="s">
        <v>10</v>
      </c>
      <c r="Z24" s="3">
        <v>106.83393599999999</v>
      </c>
      <c r="AA24" s="3">
        <v>26.617076999999998</v>
      </c>
      <c r="AB24" s="47">
        <f>Z24/(0.5*'Max capacities'!$E9)</f>
        <v>0.26708483999999999</v>
      </c>
      <c r="AC24" s="47">
        <f>AA24/(0.5*'Max capacities'!$F9)</f>
        <v>0.26617077</v>
      </c>
      <c r="AD24" s="11"/>
      <c r="AE24" s="11"/>
      <c r="AF24" s="11"/>
      <c r="AG24" s="11"/>
      <c r="AH24" s="11"/>
      <c r="AI24" s="11"/>
      <c r="AJ24" s="11"/>
      <c r="AK24" s="1"/>
      <c r="AL24" s="2" t="s">
        <v>15</v>
      </c>
      <c r="AM24" s="3" t="s">
        <v>10</v>
      </c>
      <c r="AN24" s="3" t="s">
        <v>10</v>
      </c>
      <c r="AO24" s="19">
        <v>30.316806</v>
      </c>
      <c r="AP24" s="19">
        <v>12.739906</v>
      </c>
      <c r="AQ24" s="19" t="s">
        <v>10</v>
      </c>
      <c r="AR24" s="19">
        <v>100.722143</v>
      </c>
      <c r="AS24" s="19">
        <v>27.112983</v>
      </c>
      <c r="AT24" s="47">
        <f>AR24/('Max capacities'!$F9)</f>
        <v>0.50361071499999999</v>
      </c>
      <c r="AU24" s="47">
        <f>AS24/('Max capacities'!$F9)</f>
        <v>0.13556491500000001</v>
      </c>
      <c r="AY24" s="1"/>
      <c r="AZ24" s="2" t="s">
        <v>15</v>
      </c>
      <c r="BA24" s="3" t="s">
        <v>10</v>
      </c>
      <c r="BB24" s="3" t="s">
        <v>10</v>
      </c>
      <c r="BC24" s="19">
        <v>33.624355000000001</v>
      </c>
      <c r="BD24" s="19">
        <v>2.0302009999999999</v>
      </c>
      <c r="BE24" s="19" t="s">
        <v>10</v>
      </c>
      <c r="BF24" s="19">
        <v>142.90243799999999</v>
      </c>
      <c r="BG24" s="19">
        <v>26.409935999999998</v>
      </c>
      <c r="BH24" s="47">
        <f>BF24/('Max capacities'!$E9)</f>
        <v>0.1786280475</v>
      </c>
      <c r="BI24" s="47">
        <f>BG24/('Max capacities'!$F9)</f>
        <v>0.13204968</v>
      </c>
      <c r="BQ24" s="1"/>
      <c r="BR24" s="2" t="s">
        <v>15</v>
      </c>
      <c r="BS24" s="3" t="s">
        <v>10</v>
      </c>
      <c r="BT24" s="3" t="s">
        <v>10</v>
      </c>
      <c r="BU24" s="3">
        <v>28.578258999999999</v>
      </c>
      <c r="BV24" s="3">
        <v>21.074376999999998</v>
      </c>
      <c r="BW24" s="3" t="s">
        <v>10</v>
      </c>
      <c r="BX24" s="19">
        <v>46.918416999999998</v>
      </c>
      <c r="BY24" s="19">
        <v>33.862769</v>
      </c>
      <c r="BZ24" s="47">
        <f>BX24/(0.5*'Max capacities'!$E9)</f>
        <v>0.11729604249999999</v>
      </c>
      <c r="CA24" s="47">
        <f>BY24/(0.5*'Max capacities'!$F9)</f>
        <v>0.33862768999999998</v>
      </c>
      <c r="CB24" s="47"/>
      <c r="CC24" s="47"/>
      <c r="CD24" s="47"/>
      <c r="CE24" s="47"/>
      <c r="CF24" s="47"/>
      <c r="CG24" s="47"/>
      <c r="CI24" s="1"/>
      <c r="CJ24" s="2" t="s">
        <v>15</v>
      </c>
      <c r="CK24" s="3" t="s">
        <v>10</v>
      </c>
      <c r="CL24" s="3" t="s">
        <v>10</v>
      </c>
      <c r="CM24" s="3">
        <v>33.624355000000001</v>
      </c>
      <c r="CN24" s="3">
        <v>2.0302009999999999</v>
      </c>
      <c r="CO24" s="3" t="s">
        <v>10</v>
      </c>
      <c r="CP24" s="3">
        <v>142.90243799999999</v>
      </c>
      <c r="CQ24" s="3">
        <v>26.409935999999998</v>
      </c>
      <c r="CR24" s="47">
        <f>CP24/(0.5*'Max capacities'!$E9)</f>
        <v>0.357256095</v>
      </c>
      <c r="CS24" s="47">
        <f>CQ24/(0.5*'Max capacities'!$F9)</f>
        <v>0.26409936000000001</v>
      </c>
      <c r="CT24" s="47"/>
      <c r="CU24" s="47"/>
      <c r="CV24" s="47"/>
      <c r="CW24" s="1"/>
      <c r="CX24" s="2" t="s">
        <v>15</v>
      </c>
      <c r="CY24" s="3" t="s">
        <v>10</v>
      </c>
      <c r="CZ24" s="3" t="s">
        <v>10</v>
      </c>
      <c r="DA24" s="3">
        <v>32.036884999999998</v>
      </c>
      <c r="DB24" s="3">
        <v>0</v>
      </c>
      <c r="DC24" s="3" t="s">
        <v>10</v>
      </c>
      <c r="DD24" s="19">
        <v>166.92384999999999</v>
      </c>
      <c r="DE24" s="19">
        <v>23.221278999999999</v>
      </c>
      <c r="DF24" s="47">
        <f>DD24/(0.5*'Max capacities'!$E9)</f>
        <v>0.41730962499999996</v>
      </c>
      <c r="DG24" s="47">
        <f>DE24/(0.5*'Max capacities'!$F9)</f>
        <v>0.23221279</v>
      </c>
      <c r="DH24" s="47"/>
      <c r="DI24" s="47"/>
      <c r="DJ24" s="47"/>
      <c r="DK24" s="1"/>
    </row>
    <row r="25" spans="1:115">
      <c r="A25" s="1"/>
      <c r="B25" s="2" t="s">
        <v>16</v>
      </c>
      <c r="C25" s="3" t="s">
        <v>10</v>
      </c>
      <c r="D25" s="3" t="s">
        <v>10</v>
      </c>
      <c r="E25" s="19">
        <v>0.47362399999999999</v>
      </c>
      <c r="F25" s="19">
        <v>1.5</v>
      </c>
      <c r="G25" s="19" t="s">
        <v>10</v>
      </c>
      <c r="H25" s="19">
        <v>1.730728</v>
      </c>
      <c r="I25" s="19">
        <v>0.48151699999999997</v>
      </c>
      <c r="J25" s="47">
        <f>H25/('Max capacities'!$E10)</f>
        <v>1.3012992481203007E-2</v>
      </c>
      <c r="K25" s="47">
        <f>I25/('Max capacities'!$F10)</f>
        <v>1.6050566666666665E-2</v>
      </c>
      <c r="L25" s="47"/>
      <c r="M25" s="47"/>
      <c r="N25" s="47"/>
      <c r="O25" s="47"/>
      <c r="P25" s="47"/>
      <c r="Q25" s="47"/>
      <c r="R25" s="47"/>
      <c r="S25" s="1"/>
      <c r="T25" s="2" t="s">
        <v>16</v>
      </c>
      <c r="U25" s="3" t="s">
        <v>10</v>
      </c>
      <c r="V25" s="3" t="s">
        <v>10</v>
      </c>
      <c r="W25" s="3">
        <v>0.47362399999999999</v>
      </c>
      <c r="X25" s="3">
        <v>1.5</v>
      </c>
      <c r="Y25" s="3" t="s">
        <v>10</v>
      </c>
      <c r="Z25" s="3">
        <v>1.730728</v>
      </c>
      <c r="AA25" s="3">
        <v>0.48151699999999997</v>
      </c>
      <c r="AB25" s="47">
        <f>Z25/(0.5*'Max capacities'!$E10)</f>
        <v>2.6025984962406015E-2</v>
      </c>
      <c r="AC25" s="47">
        <f>AA25/(0.5*'Max capacities'!$F10)</f>
        <v>3.210113333333333E-2</v>
      </c>
      <c r="AD25" s="11"/>
      <c r="AE25" s="11"/>
      <c r="AF25" s="11"/>
      <c r="AG25" s="11"/>
      <c r="AH25" s="11"/>
      <c r="AI25" s="11"/>
      <c r="AJ25" s="11"/>
      <c r="AK25" s="1"/>
      <c r="AL25" s="2" t="s">
        <v>16</v>
      </c>
      <c r="AM25" s="3" t="s">
        <v>10</v>
      </c>
      <c r="AN25" s="3" t="s">
        <v>10</v>
      </c>
      <c r="AO25" s="19">
        <v>0.50841199999999998</v>
      </c>
      <c r="AP25" s="19">
        <v>1.5</v>
      </c>
      <c r="AQ25" s="19" t="s">
        <v>10</v>
      </c>
      <c r="AR25" s="19">
        <v>1.453381</v>
      </c>
      <c r="AS25" s="19">
        <v>0.54942400000000002</v>
      </c>
      <c r="AT25" s="47">
        <f>AR25/('Max capacities'!$F10)</f>
        <v>4.8446033333333333E-2</v>
      </c>
      <c r="AU25" s="47">
        <f>AS25/('Max capacities'!$F10)</f>
        <v>1.8314133333333333E-2</v>
      </c>
      <c r="AY25" s="1"/>
      <c r="AZ25" s="2" t="s">
        <v>16</v>
      </c>
      <c r="BA25" s="3" t="s">
        <v>10</v>
      </c>
      <c r="BB25" s="3" t="s">
        <v>10</v>
      </c>
      <c r="BC25" s="19">
        <v>0.47158</v>
      </c>
      <c r="BD25" s="19">
        <v>1.5</v>
      </c>
      <c r="BE25" s="19" t="s">
        <v>10</v>
      </c>
      <c r="BF25" s="19">
        <v>1.7475229999999999</v>
      </c>
      <c r="BG25" s="19">
        <v>0.47740500000000002</v>
      </c>
      <c r="BH25" s="47">
        <f>BF25/('Max capacities'!$E10)</f>
        <v>1.3139270676691728E-2</v>
      </c>
      <c r="BI25" s="47">
        <f>BG25/('Max capacities'!$F10)</f>
        <v>1.5913500000000001E-2</v>
      </c>
      <c r="BQ25" s="1"/>
      <c r="BR25" s="2" t="s">
        <v>16</v>
      </c>
      <c r="BS25" s="3" t="s">
        <v>10</v>
      </c>
      <c r="BT25" s="3" t="s">
        <v>10</v>
      </c>
      <c r="BU25" s="3">
        <v>0.47362399999999999</v>
      </c>
      <c r="BV25" s="3">
        <v>1.5</v>
      </c>
      <c r="BW25" s="3" t="s">
        <v>10</v>
      </c>
      <c r="BX25" s="19">
        <v>1.730728</v>
      </c>
      <c r="BY25" s="19">
        <v>0.48151699999999997</v>
      </c>
      <c r="BZ25" s="47">
        <f>BX25/(0.5*'Max capacities'!$E10)</f>
        <v>2.6025984962406015E-2</v>
      </c>
      <c r="CA25" s="47">
        <f>BY25/(0.5*'Max capacities'!$F10)</f>
        <v>3.210113333333333E-2</v>
      </c>
      <c r="CB25" s="47"/>
      <c r="CC25" s="47"/>
      <c r="CD25" s="47"/>
      <c r="CE25" s="47"/>
      <c r="CF25" s="47"/>
      <c r="CG25" s="47"/>
      <c r="CI25" s="1"/>
      <c r="CJ25" s="2" t="s">
        <v>16</v>
      </c>
      <c r="CK25" s="3" t="s">
        <v>10</v>
      </c>
      <c r="CL25" s="3" t="s">
        <v>10</v>
      </c>
      <c r="CM25" s="3">
        <v>0.47158</v>
      </c>
      <c r="CN25" s="3">
        <v>1.5</v>
      </c>
      <c r="CO25" s="3" t="s">
        <v>10</v>
      </c>
      <c r="CP25" s="3">
        <v>1.7475229999999999</v>
      </c>
      <c r="CQ25" s="3">
        <v>0.47740500000000002</v>
      </c>
      <c r="CR25" s="47">
        <f>CP25/(0.5*'Max capacities'!$E10)</f>
        <v>2.6278541353383457E-2</v>
      </c>
      <c r="CS25" s="47">
        <f>CQ25/(0.5*'Max capacities'!$F10)</f>
        <v>3.1827000000000001E-2</v>
      </c>
      <c r="CT25" s="47"/>
      <c r="CU25" s="47"/>
      <c r="CV25" s="47"/>
      <c r="CW25" s="1"/>
      <c r="CX25" s="2" t="s">
        <v>16</v>
      </c>
      <c r="CY25" s="3" t="s">
        <v>10</v>
      </c>
      <c r="CZ25" s="3" t="s">
        <v>10</v>
      </c>
      <c r="DA25" s="3">
        <v>0.47173300000000001</v>
      </c>
      <c r="DB25" s="3">
        <v>1.5</v>
      </c>
      <c r="DC25" s="3" t="s">
        <v>10</v>
      </c>
      <c r="DD25" s="19">
        <v>1.6578569999999999</v>
      </c>
      <c r="DE25" s="19">
        <v>0.50865700000000003</v>
      </c>
      <c r="DF25" s="47">
        <f>DD25/(0.5*'Max capacities'!$E10)</f>
        <v>2.4930180451127819E-2</v>
      </c>
      <c r="DG25" s="47">
        <f>DE25/(0.5*'Max capacities'!$F10)</f>
        <v>3.3910466666666667E-2</v>
      </c>
      <c r="DH25" s="47"/>
      <c r="DI25" s="47"/>
      <c r="DJ25" s="47"/>
      <c r="DK25" s="1"/>
    </row>
    <row r="26" spans="1:115">
      <c r="A26" s="1"/>
      <c r="B26" s="2" t="s">
        <v>17</v>
      </c>
      <c r="C26" s="3">
        <v>41.4</v>
      </c>
      <c r="D26" s="3" t="s">
        <v>10</v>
      </c>
      <c r="E26" s="19">
        <v>111.633832</v>
      </c>
      <c r="F26" s="19">
        <v>11.313841999999999</v>
      </c>
      <c r="G26" s="19" t="s">
        <v>10</v>
      </c>
      <c r="H26" s="19">
        <v>377.71072700000002</v>
      </c>
      <c r="I26" s="19">
        <v>133.64535599999999</v>
      </c>
      <c r="J26" s="47">
        <f>H26/('Max capacities'!$E11)</f>
        <v>0.25180715133333337</v>
      </c>
      <c r="K26" s="47">
        <f>I26/('Max capacities'!$F11)</f>
        <v>0.33411338999999995</v>
      </c>
      <c r="L26" s="47"/>
      <c r="M26" s="47"/>
      <c r="N26" s="47"/>
      <c r="O26" s="47"/>
      <c r="P26" s="47"/>
      <c r="Q26" s="47"/>
      <c r="R26" s="47"/>
      <c r="S26" s="1"/>
      <c r="T26" s="2" t="s">
        <v>17</v>
      </c>
      <c r="U26" s="3">
        <v>41.4</v>
      </c>
      <c r="V26" s="3" t="s">
        <v>10</v>
      </c>
      <c r="W26" s="3">
        <v>111.633832</v>
      </c>
      <c r="X26" s="3">
        <v>11.313841999999999</v>
      </c>
      <c r="Y26" s="3" t="s">
        <v>10</v>
      </c>
      <c r="Z26" s="3">
        <v>377.71072700000002</v>
      </c>
      <c r="AA26" s="3">
        <v>133.64535599999999</v>
      </c>
      <c r="AB26" s="47">
        <f>Z26/(0.5*'Max capacities'!$E11)</f>
        <v>0.50361430266666674</v>
      </c>
      <c r="AC26" s="47">
        <f>AA26/(0.5*'Max capacities'!$F11)</f>
        <v>0.66822677999999991</v>
      </c>
      <c r="AD26" s="11"/>
      <c r="AE26" s="11"/>
      <c r="AF26" s="11"/>
      <c r="AG26" s="11"/>
      <c r="AH26" s="11"/>
      <c r="AI26" s="11"/>
      <c r="AJ26" s="11"/>
      <c r="AK26" s="1"/>
      <c r="AL26" s="2" t="s">
        <v>17</v>
      </c>
      <c r="AM26" s="3">
        <v>41.4</v>
      </c>
      <c r="AN26" s="3" t="s">
        <v>10</v>
      </c>
      <c r="AO26" s="19">
        <v>111.633832</v>
      </c>
      <c r="AP26" s="19">
        <v>11.313841999999999</v>
      </c>
      <c r="AQ26" s="19" t="s">
        <v>10</v>
      </c>
      <c r="AR26" s="19">
        <v>377.71072700000002</v>
      </c>
      <c r="AS26" s="19">
        <v>133.64535599999999</v>
      </c>
      <c r="AT26" s="47">
        <f>AR26/('Max capacities'!$F11)</f>
        <v>0.94427681750000003</v>
      </c>
      <c r="AU26" s="47">
        <f>AS26/('Max capacities'!$F11)</f>
        <v>0.33411338999999995</v>
      </c>
      <c r="AY26" s="1"/>
      <c r="AZ26" s="2" t="s">
        <v>17</v>
      </c>
      <c r="BA26" s="3">
        <v>41.4</v>
      </c>
      <c r="BB26" s="3" t="s">
        <v>10</v>
      </c>
      <c r="BC26" s="19">
        <v>105.368225</v>
      </c>
      <c r="BD26" s="19">
        <v>0</v>
      </c>
      <c r="BE26" s="19" t="s">
        <v>10</v>
      </c>
      <c r="BF26" s="19">
        <v>532.40166199999999</v>
      </c>
      <c r="BG26" s="19">
        <v>106.130565</v>
      </c>
      <c r="BH26" s="47">
        <f>BF26/('Max capacities'!$E11)</f>
        <v>0.35493444133333335</v>
      </c>
      <c r="BI26" s="47">
        <f>BG26/('Max capacities'!$F11)</f>
        <v>0.2653264125</v>
      </c>
      <c r="BQ26" s="1"/>
      <c r="BR26" s="2" t="s">
        <v>17</v>
      </c>
      <c r="BS26" s="3">
        <v>41.4</v>
      </c>
      <c r="BT26" s="3" t="s">
        <v>10</v>
      </c>
      <c r="BU26" s="3">
        <v>105.920917</v>
      </c>
      <c r="BV26" s="3">
        <v>46.510924000000003</v>
      </c>
      <c r="BW26" s="3" t="s">
        <v>10</v>
      </c>
      <c r="BX26" s="19">
        <v>167.52748399999999</v>
      </c>
      <c r="BY26" s="19">
        <v>157.89910800000001</v>
      </c>
      <c r="BZ26" s="47">
        <f>BX26/(0.5*'Max capacities'!$E11)</f>
        <v>0.22336997866666666</v>
      </c>
      <c r="CA26" s="47">
        <f>BY26/(0.5*'Max capacities'!$F11)</f>
        <v>0.78949554000000011</v>
      </c>
      <c r="CB26" s="47"/>
      <c r="CC26" s="47"/>
      <c r="CD26" s="47"/>
      <c r="CE26" s="47"/>
      <c r="CF26" s="47"/>
      <c r="CG26" s="47"/>
      <c r="CI26" s="1"/>
      <c r="CJ26" s="2" t="s">
        <v>17</v>
      </c>
      <c r="CK26" s="3">
        <v>41.4</v>
      </c>
      <c r="CL26" s="3" t="s">
        <v>10</v>
      </c>
      <c r="CM26" s="3">
        <v>105.368225</v>
      </c>
      <c r="CN26" s="3">
        <v>0</v>
      </c>
      <c r="CO26" s="3" t="s">
        <v>10</v>
      </c>
      <c r="CP26" s="3">
        <v>532.40166199999999</v>
      </c>
      <c r="CQ26" s="3">
        <v>106.130565</v>
      </c>
      <c r="CR26" s="47">
        <f>CP26/(0.5*'Max capacities'!$E11)</f>
        <v>0.7098688826666667</v>
      </c>
      <c r="CS26" s="47">
        <f>CQ26/(0.5*'Max capacities'!$F11)</f>
        <v>0.53065282499999999</v>
      </c>
      <c r="CT26" s="47"/>
      <c r="CU26" s="47"/>
      <c r="CV26" s="47"/>
      <c r="CW26" s="1"/>
      <c r="CX26" s="2" t="s">
        <v>17</v>
      </c>
      <c r="CY26" s="3">
        <v>41.4</v>
      </c>
      <c r="CZ26" s="3" t="s">
        <v>10</v>
      </c>
      <c r="DA26" s="3">
        <v>95.369326000000001</v>
      </c>
      <c r="DB26" s="3">
        <v>0</v>
      </c>
      <c r="DC26" s="3" t="s">
        <v>10</v>
      </c>
      <c r="DD26" s="19">
        <v>551.53169200000002</v>
      </c>
      <c r="DE26" s="19">
        <v>108.67992700000001</v>
      </c>
      <c r="DF26" s="47">
        <f>DD26/(0.5*'Max capacities'!$E11)</f>
        <v>0.73537558933333336</v>
      </c>
      <c r="DG26" s="47">
        <f>DE26/(0.5*'Max capacities'!$F11)</f>
        <v>0.54339963499999999</v>
      </c>
      <c r="DH26" s="47"/>
      <c r="DI26" s="47"/>
      <c r="DJ26" s="47"/>
      <c r="DK26" s="1"/>
    </row>
    <row r="27" spans="1:115">
      <c r="A27" s="1"/>
      <c r="B27" s="2" t="s">
        <v>18</v>
      </c>
      <c r="C27" s="3" t="s">
        <v>10</v>
      </c>
      <c r="D27" s="3" t="s">
        <v>10</v>
      </c>
      <c r="E27" s="19">
        <v>12.747432</v>
      </c>
      <c r="F27" s="19">
        <v>13.558076</v>
      </c>
      <c r="G27" s="19" t="s">
        <v>10</v>
      </c>
      <c r="H27" s="19">
        <v>69.804635000000005</v>
      </c>
      <c r="I27" s="19">
        <v>7.1203250000000002</v>
      </c>
      <c r="J27" s="47">
        <f>H27/('Max capacities'!$E12)</f>
        <v>0.19944181428571431</v>
      </c>
      <c r="K27" s="47">
        <f>I27/('Max capacities'!$F12)</f>
        <v>7.1203249999999996E-2</v>
      </c>
      <c r="L27" s="47"/>
      <c r="M27" s="47"/>
      <c r="N27" s="47"/>
      <c r="O27" s="47"/>
      <c r="P27" s="47"/>
      <c r="Q27" s="47"/>
      <c r="R27" s="47"/>
      <c r="S27" s="1"/>
      <c r="T27" s="2" t="s">
        <v>18</v>
      </c>
      <c r="U27" s="3" t="s">
        <v>10</v>
      </c>
      <c r="V27" s="3" t="s">
        <v>10</v>
      </c>
      <c r="W27" s="3">
        <v>12.747432</v>
      </c>
      <c r="X27" s="3">
        <v>13.558076</v>
      </c>
      <c r="Y27" s="3" t="s">
        <v>10</v>
      </c>
      <c r="Z27" s="3">
        <v>69.804635000000005</v>
      </c>
      <c r="AA27" s="3">
        <v>7.1203250000000002</v>
      </c>
      <c r="AB27" s="47">
        <f>Z27/(0.5*'Max capacities'!$E12)</f>
        <v>0.39888362857142862</v>
      </c>
      <c r="AC27" s="47">
        <f>AA27/(0.5*'Max capacities'!$F12)</f>
        <v>0.14240649999999999</v>
      </c>
      <c r="AD27" s="11"/>
      <c r="AE27" s="11"/>
      <c r="AF27" s="11"/>
      <c r="AG27" s="11"/>
      <c r="AH27" s="11"/>
      <c r="AI27" s="11"/>
      <c r="AJ27" s="11"/>
      <c r="AK27" s="1"/>
      <c r="AL27" s="2" t="s">
        <v>18</v>
      </c>
      <c r="AM27" s="3" t="s">
        <v>10</v>
      </c>
      <c r="AN27" s="3" t="s">
        <v>10</v>
      </c>
      <c r="AO27" s="19">
        <v>12.747432</v>
      </c>
      <c r="AP27" s="19">
        <v>13.558076</v>
      </c>
      <c r="AQ27" s="19" t="s">
        <v>10</v>
      </c>
      <c r="AR27" s="19">
        <v>69.804635000000005</v>
      </c>
      <c r="AS27" s="19">
        <v>7.1203250000000002</v>
      </c>
      <c r="AT27" s="47">
        <f>AR27/('Max capacities'!$F12)</f>
        <v>0.69804635000000004</v>
      </c>
      <c r="AU27" s="47">
        <f>AS27/('Max capacities'!$F12)</f>
        <v>7.1203249999999996E-2</v>
      </c>
      <c r="AY27" s="1"/>
      <c r="AZ27" s="2" t="s">
        <v>18</v>
      </c>
      <c r="BA27" s="3" t="s">
        <v>10</v>
      </c>
      <c r="BB27" s="3" t="s">
        <v>10</v>
      </c>
      <c r="BC27" s="19">
        <v>13.45312</v>
      </c>
      <c r="BD27" s="19">
        <v>10</v>
      </c>
      <c r="BE27" s="19" t="s">
        <v>10</v>
      </c>
      <c r="BF27" s="19">
        <v>89.664721999999998</v>
      </c>
      <c r="BG27" s="19">
        <v>5.7062480000000004</v>
      </c>
      <c r="BH27" s="47">
        <f>BF27/('Max capacities'!$E12)</f>
        <v>0.25618491999999998</v>
      </c>
      <c r="BI27" s="47">
        <f>BG27/('Max capacities'!$F12)</f>
        <v>5.7062480000000006E-2</v>
      </c>
      <c r="BQ27" s="1"/>
      <c r="BR27" s="2" t="s">
        <v>18</v>
      </c>
      <c r="BS27" s="3" t="s">
        <v>10</v>
      </c>
      <c r="BT27" s="3" t="s">
        <v>10</v>
      </c>
      <c r="BU27" s="3">
        <v>11.727964999999999</v>
      </c>
      <c r="BV27" s="3">
        <v>19.603967000000001</v>
      </c>
      <c r="BW27" s="3" t="s">
        <v>10</v>
      </c>
      <c r="BX27" s="19">
        <v>36.355654999999999</v>
      </c>
      <c r="BY27" s="19">
        <v>10.415983000000001</v>
      </c>
      <c r="BZ27" s="47">
        <f>BX27/(0.5*'Max capacities'!$E12)</f>
        <v>0.2077466</v>
      </c>
      <c r="CA27" s="47">
        <f>BY27/(0.5*'Max capacities'!$F12)</f>
        <v>0.20831966000000002</v>
      </c>
      <c r="CB27" s="47"/>
      <c r="CC27" s="47"/>
      <c r="CD27" s="47"/>
      <c r="CE27" s="47"/>
      <c r="CF27" s="47"/>
      <c r="CG27" s="47"/>
      <c r="CI27" s="1"/>
      <c r="CJ27" s="2" t="s">
        <v>18</v>
      </c>
      <c r="CK27" s="3" t="s">
        <v>10</v>
      </c>
      <c r="CL27" s="3" t="s">
        <v>10</v>
      </c>
      <c r="CM27" s="3">
        <v>13.45312</v>
      </c>
      <c r="CN27" s="3">
        <v>10</v>
      </c>
      <c r="CO27" s="3" t="s">
        <v>10</v>
      </c>
      <c r="CP27" s="3">
        <v>89.664721999999998</v>
      </c>
      <c r="CQ27" s="3">
        <v>5.7062480000000004</v>
      </c>
      <c r="CR27" s="47">
        <f>CP27/(0.5*'Max capacities'!$E12)</f>
        <v>0.51236983999999997</v>
      </c>
      <c r="CS27" s="47">
        <f>CQ27/(0.5*'Max capacities'!$F12)</f>
        <v>0.11412496000000001</v>
      </c>
      <c r="CT27" s="47"/>
      <c r="CU27" s="47"/>
      <c r="CV27" s="47"/>
      <c r="CW27" s="1"/>
      <c r="CX27" s="2" t="s">
        <v>18</v>
      </c>
      <c r="CY27" s="3" t="s">
        <v>10</v>
      </c>
      <c r="CZ27" s="3" t="s">
        <v>10</v>
      </c>
      <c r="DA27" s="3">
        <v>13.017175999999999</v>
      </c>
      <c r="DB27" s="3">
        <v>10</v>
      </c>
      <c r="DC27" s="3" t="s">
        <v>10</v>
      </c>
      <c r="DD27" s="19">
        <v>88.148375999999999</v>
      </c>
      <c r="DE27" s="19">
        <v>6.7040620000000004</v>
      </c>
      <c r="DF27" s="47">
        <f>DD27/(0.5*'Max capacities'!$E12)</f>
        <v>0.50370500571428567</v>
      </c>
      <c r="DG27" s="47">
        <f>DE27/(0.5*'Max capacities'!$F12)</f>
        <v>0.13408124000000002</v>
      </c>
      <c r="DH27" s="47"/>
      <c r="DI27" s="47"/>
      <c r="DJ27" s="47"/>
      <c r="DK27" s="1"/>
    </row>
    <row r="28" spans="1:115">
      <c r="A28" s="1"/>
      <c r="B28" s="2" t="s">
        <v>19</v>
      </c>
      <c r="C28" s="3" t="s">
        <v>10</v>
      </c>
      <c r="D28" s="3" t="s">
        <v>10</v>
      </c>
      <c r="E28" s="19">
        <v>8.2003240000000002</v>
      </c>
      <c r="F28" s="19">
        <v>0</v>
      </c>
      <c r="G28" s="19">
        <v>8</v>
      </c>
      <c r="H28" s="19">
        <v>21.096558999999999</v>
      </c>
      <c r="I28" s="19">
        <v>19.613831999999999</v>
      </c>
      <c r="J28" s="47">
        <f>H28/('Max capacities'!$E13)</f>
        <v>4.5862084782608691E-2</v>
      </c>
      <c r="K28" s="47">
        <f>I28/('Max capacities'!$F13)</f>
        <v>0.1634486</v>
      </c>
      <c r="L28" s="47"/>
      <c r="M28" s="47"/>
      <c r="N28" s="47"/>
      <c r="O28" s="47"/>
      <c r="P28" s="47"/>
      <c r="Q28" s="47"/>
      <c r="R28" s="47"/>
      <c r="S28" s="1"/>
      <c r="T28" s="2" t="s">
        <v>19</v>
      </c>
      <c r="U28" s="3" t="s">
        <v>10</v>
      </c>
      <c r="V28" s="3" t="s">
        <v>10</v>
      </c>
      <c r="W28" s="3">
        <v>8.2003240000000002</v>
      </c>
      <c r="X28" s="3">
        <v>0</v>
      </c>
      <c r="Y28" s="3">
        <v>8</v>
      </c>
      <c r="Z28" s="3">
        <v>21.096558999999999</v>
      </c>
      <c r="AA28" s="3">
        <v>19.613831999999999</v>
      </c>
      <c r="AB28" s="47">
        <f>Z28/(0.5*'Max capacities'!$E13)</f>
        <v>9.1724169565217381E-2</v>
      </c>
      <c r="AC28" s="47">
        <f>AA28/(0.5*'Max capacities'!$F13)</f>
        <v>0.3268972</v>
      </c>
      <c r="AD28" s="11"/>
      <c r="AE28" s="11"/>
      <c r="AF28" s="11"/>
      <c r="AG28" s="11"/>
      <c r="AH28" s="11"/>
      <c r="AI28" s="11"/>
      <c r="AJ28" s="11"/>
      <c r="AK28" s="1"/>
      <c r="AL28" s="2" t="s">
        <v>19</v>
      </c>
      <c r="AM28" s="3" t="s">
        <v>10</v>
      </c>
      <c r="AN28" s="3" t="s">
        <v>10</v>
      </c>
      <c r="AO28" s="19">
        <v>8.2288080000000008</v>
      </c>
      <c r="AP28" s="19">
        <v>0</v>
      </c>
      <c r="AQ28" s="19">
        <v>8</v>
      </c>
      <c r="AR28" s="19">
        <v>22.158096</v>
      </c>
      <c r="AS28" s="19">
        <v>19.139305</v>
      </c>
      <c r="AT28" s="47">
        <f>AR28/('Max capacities'!$F13)</f>
        <v>0.1846508</v>
      </c>
      <c r="AU28" s="47">
        <f>AS28/('Max capacities'!$F13)</f>
        <v>0.15949420833333333</v>
      </c>
      <c r="AY28" s="1"/>
      <c r="AZ28" s="2" t="s">
        <v>19</v>
      </c>
      <c r="BA28" s="3" t="s">
        <v>10</v>
      </c>
      <c r="BB28" s="3" t="s">
        <v>10</v>
      </c>
      <c r="BC28" s="19">
        <v>8.2003240000000002</v>
      </c>
      <c r="BD28" s="19">
        <v>0</v>
      </c>
      <c r="BE28" s="19">
        <v>8</v>
      </c>
      <c r="BF28" s="19">
        <v>21.096558999999999</v>
      </c>
      <c r="BG28" s="19">
        <v>19.613831999999999</v>
      </c>
      <c r="BH28" s="47">
        <f>BF28/('Max capacities'!$E13)</f>
        <v>4.5862084782608691E-2</v>
      </c>
      <c r="BI28" s="47">
        <f>BG28/('Max capacities'!$F13)</f>
        <v>0.1634486</v>
      </c>
      <c r="BQ28" s="1"/>
      <c r="BR28" s="2" t="s">
        <v>19</v>
      </c>
      <c r="BS28" s="3" t="s">
        <v>10</v>
      </c>
      <c r="BT28" s="3" t="s">
        <v>10</v>
      </c>
      <c r="BU28" s="3">
        <v>8.5281149999999997</v>
      </c>
      <c r="BV28" s="3">
        <v>0</v>
      </c>
      <c r="BW28" s="3">
        <v>8</v>
      </c>
      <c r="BX28" s="19">
        <v>24.202871999999999</v>
      </c>
      <c r="BY28" s="19">
        <v>18.064451999999999</v>
      </c>
      <c r="BZ28" s="47">
        <f>BX28/(0.5*'Max capacities'!$E13)</f>
        <v>0.10522987826086956</v>
      </c>
      <c r="CA28" s="47">
        <f>BY28/(0.5*'Max capacities'!$F13)</f>
        <v>0.30107420000000001</v>
      </c>
      <c r="CB28" s="47"/>
      <c r="CC28" s="47"/>
      <c r="CD28" s="47"/>
      <c r="CE28" s="47"/>
      <c r="CF28" s="47"/>
      <c r="CG28" s="47"/>
      <c r="CI28" s="1"/>
      <c r="CJ28" s="2" t="s">
        <v>19</v>
      </c>
      <c r="CK28" s="3" t="s">
        <v>10</v>
      </c>
      <c r="CL28" s="3" t="s">
        <v>10</v>
      </c>
      <c r="CM28" s="3">
        <v>8.2003240000000002</v>
      </c>
      <c r="CN28" s="3">
        <v>0</v>
      </c>
      <c r="CO28" s="3">
        <v>8</v>
      </c>
      <c r="CP28" s="3">
        <v>21.096558999999999</v>
      </c>
      <c r="CQ28" s="3">
        <v>19.613831999999999</v>
      </c>
      <c r="CR28" s="47">
        <f>CP28/(0.5*'Max capacities'!$E13)</f>
        <v>9.1724169565217381E-2</v>
      </c>
      <c r="CS28" s="47">
        <f>CQ28/(0.5*'Max capacities'!$F13)</f>
        <v>0.3268972</v>
      </c>
      <c r="CT28" s="47"/>
      <c r="CU28" s="47"/>
      <c r="CV28" s="47"/>
      <c r="CW28" s="1"/>
      <c r="CX28" s="2" t="s">
        <v>19</v>
      </c>
      <c r="CY28" s="3" t="s">
        <v>10</v>
      </c>
      <c r="CZ28" s="3" t="s">
        <v>10</v>
      </c>
      <c r="DA28" s="3">
        <v>8.2003240000000002</v>
      </c>
      <c r="DB28" s="3">
        <v>0</v>
      </c>
      <c r="DC28" s="3">
        <v>8</v>
      </c>
      <c r="DD28" s="19">
        <v>21.096558999999999</v>
      </c>
      <c r="DE28" s="19">
        <v>19.613831999999999</v>
      </c>
      <c r="DF28" s="47">
        <f>DD28/(0.5*'Max capacities'!$E13)</f>
        <v>9.1724169565217381E-2</v>
      </c>
      <c r="DG28" s="47">
        <f>DE28/(0.5*'Max capacities'!$F13)</f>
        <v>0.3268972</v>
      </c>
      <c r="DH28" s="47"/>
      <c r="DI28" s="47"/>
      <c r="DJ28" s="47"/>
      <c r="DK28" s="1"/>
    </row>
    <row r="29" spans="1:115" ht="68.75" customHeight="1">
      <c r="A29" s="1"/>
      <c r="B29" s="8" t="s">
        <v>47</v>
      </c>
      <c r="J29" s="10" t="s">
        <v>48</v>
      </c>
      <c r="K29" s="10" t="s">
        <v>49</v>
      </c>
      <c r="L29" s="10" t="s">
        <v>99</v>
      </c>
      <c r="M29" s="10" t="s">
        <v>106</v>
      </c>
      <c r="N29" s="10" t="s">
        <v>111</v>
      </c>
      <c r="O29" s="10" t="s">
        <v>112</v>
      </c>
      <c r="P29" s="10" t="s">
        <v>107</v>
      </c>
      <c r="Q29" s="10" t="s">
        <v>117</v>
      </c>
      <c r="R29" s="31" t="s">
        <v>118</v>
      </c>
      <c r="S29" s="1"/>
      <c r="T29" s="8" t="s">
        <v>47</v>
      </c>
      <c r="AB29" s="10" t="s">
        <v>48</v>
      </c>
      <c r="AC29" s="10" t="s">
        <v>49</v>
      </c>
      <c r="AD29" s="10" t="s">
        <v>99</v>
      </c>
      <c r="AE29" s="10" t="s">
        <v>106</v>
      </c>
      <c r="AF29" s="10" t="s">
        <v>111</v>
      </c>
      <c r="AG29" s="10" t="s">
        <v>112</v>
      </c>
      <c r="AH29" s="10" t="s">
        <v>107</v>
      </c>
      <c r="AI29" s="10" t="s">
        <v>117</v>
      </c>
      <c r="AJ29" s="31" t="s">
        <v>118</v>
      </c>
      <c r="AK29" s="1"/>
      <c r="AL29" s="8" t="s">
        <v>47</v>
      </c>
      <c r="AT29" s="10" t="s">
        <v>48</v>
      </c>
      <c r="AU29" s="10" t="s">
        <v>49</v>
      </c>
      <c r="AV29" s="10" t="s">
        <v>99</v>
      </c>
      <c r="AW29" s="10" t="s">
        <v>106</v>
      </c>
      <c r="AX29" s="10" t="s">
        <v>107</v>
      </c>
      <c r="AY29" s="1"/>
      <c r="AZ29" s="8" t="s">
        <v>47</v>
      </c>
      <c r="BH29" s="10" t="s">
        <v>48</v>
      </c>
      <c r="BI29" s="10" t="s">
        <v>49</v>
      </c>
      <c r="BJ29" s="10" t="s">
        <v>99</v>
      </c>
      <c r="BK29" s="10" t="s">
        <v>106</v>
      </c>
      <c r="BL29" s="10" t="s">
        <v>111</v>
      </c>
      <c r="BM29" s="10" t="s">
        <v>112</v>
      </c>
      <c r="BN29" s="10" t="s">
        <v>107</v>
      </c>
      <c r="BO29" s="10" t="s">
        <v>117</v>
      </c>
      <c r="BP29" s="31" t="s">
        <v>118</v>
      </c>
      <c r="BQ29" s="1"/>
      <c r="BR29" s="8" t="s">
        <v>47</v>
      </c>
      <c r="BZ29" s="10" t="s">
        <v>48</v>
      </c>
      <c r="CA29" s="10" t="s">
        <v>49</v>
      </c>
      <c r="CB29" s="10" t="s">
        <v>99</v>
      </c>
      <c r="CC29" s="10" t="s">
        <v>106</v>
      </c>
      <c r="CD29" s="10" t="s">
        <v>107</v>
      </c>
      <c r="CE29" s="10"/>
      <c r="CF29" s="10"/>
      <c r="CG29" s="10"/>
      <c r="CH29" s="31"/>
      <c r="CI29" s="1"/>
      <c r="CJ29" s="8" t="s">
        <v>47</v>
      </c>
      <c r="CR29" s="10" t="s">
        <v>48</v>
      </c>
      <c r="CS29" s="10" t="s">
        <v>49</v>
      </c>
      <c r="CT29" s="10" t="s">
        <v>99</v>
      </c>
      <c r="CU29" s="10" t="s">
        <v>106</v>
      </c>
      <c r="CV29" s="10" t="s">
        <v>107</v>
      </c>
      <c r="CW29" s="1"/>
      <c r="CX29" s="8" t="s">
        <v>47</v>
      </c>
      <c r="DF29" s="10" t="s">
        <v>48</v>
      </c>
      <c r="DG29" s="10" t="s">
        <v>49</v>
      </c>
      <c r="DH29" s="10" t="s">
        <v>99</v>
      </c>
      <c r="DI29" s="10" t="s">
        <v>106</v>
      </c>
      <c r="DJ29" s="10" t="s">
        <v>107</v>
      </c>
      <c r="DK29" s="1"/>
    </row>
    <row r="30" spans="1:115" ht="29.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L30" s="61">
        <f>SUM(L32:L41)</f>
        <v>6799.8106110000008</v>
      </c>
      <c r="M30" s="10"/>
      <c r="N30" s="10"/>
      <c r="O30" s="10"/>
      <c r="P30" s="10"/>
      <c r="Q30" s="10"/>
      <c r="R30" s="31"/>
      <c r="S30" s="1"/>
      <c r="T30" s="2" t="s">
        <v>0</v>
      </c>
      <c r="U30" s="2" t="s">
        <v>1</v>
      </c>
      <c r="V30" s="2" t="s">
        <v>2</v>
      </c>
      <c r="W30" s="2" t="s">
        <v>3</v>
      </c>
      <c r="X30" s="2" t="s">
        <v>4</v>
      </c>
      <c r="Y30" s="2" t="s">
        <v>5</v>
      </c>
      <c r="Z30" s="2" t="s">
        <v>6</v>
      </c>
      <c r="AA30" s="2" t="s">
        <v>7</v>
      </c>
      <c r="AB30" s="10"/>
      <c r="AC30" s="10"/>
      <c r="AD30" s="61">
        <f>SUM(AD32:AD41)</f>
        <v>6799.8106100000005</v>
      </c>
      <c r="AE30" s="10"/>
      <c r="AF30" s="10"/>
      <c r="AG30" s="10"/>
      <c r="AH30" s="10"/>
      <c r="AI30" s="10"/>
      <c r="AJ30" s="31"/>
      <c r="AK30" s="1"/>
      <c r="AL30" s="2" t="s">
        <v>0</v>
      </c>
      <c r="AM30" s="2" t="s">
        <v>1</v>
      </c>
      <c r="AN30" s="2" t="s">
        <v>2</v>
      </c>
      <c r="AO30" s="2" t="s">
        <v>3</v>
      </c>
      <c r="AP30" s="2" t="s">
        <v>4</v>
      </c>
      <c r="AQ30" s="2" t="s">
        <v>5</v>
      </c>
      <c r="AR30" s="2" t="s">
        <v>6</v>
      </c>
      <c r="AS30" s="2" t="s">
        <v>7</v>
      </c>
      <c r="AV30" s="61">
        <f>SUM(AV32:AV41)</f>
        <v>6799.8106100000005</v>
      </c>
      <c r="AW30" s="10"/>
      <c r="AX30" s="10"/>
      <c r="AY30" s="1"/>
      <c r="AZ30" s="2" t="s">
        <v>0</v>
      </c>
      <c r="BA30" s="2" t="s">
        <v>1</v>
      </c>
      <c r="BB30" s="2" t="s">
        <v>2</v>
      </c>
      <c r="BC30" s="2" t="s">
        <v>3</v>
      </c>
      <c r="BD30" s="2" t="s">
        <v>4</v>
      </c>
      <c r="BE30" s="2" t="s">
        <v>5</v>
      </c>
      <c r="BF30" s="2" t="s">
        <v>6</v>
      </c>
      <c r="BG30" s="2" t="s">
        <v>7</v>
      </c>
      <c r="BH30" s="10"/>
      <c r="BI30" s="10"/>
      <c r="BJ30" s="61">
        <f>SUM(BJ32:BJ41)</f>
        <v>6799.8106109999999</v>
      </c>
      <c r="BK30" s="10"/>
      <c r="BL30" s="10"/>
      <c r="BM30" s="10"/>
      <c r="BN30" s="10"/>
      <c r="BO30" s="10"/>
      <c r="BP30" s="31"/>
      <c r="BQ30" s="1"/>
      <c r="BR30" s="2" t="s">
        <v>0</v>
      </c>
      <c r="BS30" s="2" t="s">
        <v>1</v>
      </c>
      <c r="BT30" s="2" t="s">
        <v>2</v>
      </c>
      <c r="BU30" s="2" t="s">
        <v>3</v>
      </c>
      <c r="BV30" s="2" t="s">
        <v>4</v>
      </c>
      <c r="BW30" s="2" t="s">
        <v>5</v>
      </c>
      <c r="BX30" s="2" t="s">
        <v>6</v>
      </c>
      <c r="BY30" s="2" t="s">
        <v>7</v>
      </c>
      <c r="BZ30" s="10"/>
      <c r="CA30" s="10"/>
      <c r="CB30" s="61">
        <f>SUM(CB32:CB41)</f>
        <v>6799.8106109999999</v>
      </c>
      <c r="CC30" s="10"/>
      <c r="CD30" s="10"/>
      <c r="CE30" s="10"/>
      <c r="CF30" s="10"/>
      <c r="CG30" s="10"/>
      <c r="CH30" s="31"/>
      <c r="CI30" s="1"/>
      <c r="CJ30" s="2" t="s">
        <v>0</v>
      </c>
      <c r="CK30" s="2" t="s">
        <v>1</v>
      </c>
      <c r="CL30" s="2" t="s">
        <v>2</v>
      </c>
      <c r="CM30" s="2" t="s">
        <v>3</v>
      </c>
      <c r="CN30" s="2" t="s">
        <v>4</v>
      </c>
      <c r="CO30" s="2" t="s">
        <v>5</v>
      </c>
      <c r="CP30" s="2" t="s">
        <v>6</v>
      </c>
      <c r="CQ30" s="2" t="s">
        <v>7</v>
      </c>
      <c r="CR30" s="10"/>
      <c r="CS30" s="10"/>
      <c r="CT30" s="61">
        <f>SUM(CT32:CT41)</f>
        <v>6799.8106109999999</v>
      </c>
      <c r="CU30" s="10"/>
      <c r="CV30" s="10"/>
      <c r="CW30" s="1"/>
      <c r="CX30" s="2" t="s">
        <v>0</v>
      </c>
      <c r="CY30" s="2" t="s">
        <v>1</v>
      </c>
      <c r="CZ30" s="2" t="s">
        <v>2</v>
      </c>
      <c r="DA30" s="2" t="s">
        <v>3</v>
      </c>
      <c r="DB30" s="2" t="s">
        <v>4</v>
      </c>
      <c r="DC30" s="2" t="s">
        <v>5</v>
      </c>
      <c r="DD30" s="2" t="s">
        <v>6</v>
      </c>
      <c r="DE30" s="2" t="s">
        <v>7</v>
      </c>
      <c r="DF30" s="10"/>
      <c r="DG30" s="10"/>
      <c r="DH30" s="61">
        <f>SUM(DH32:DH41)</f>
        <v>6799.810610999999</v>
      </c>
      <c r="DI30" s="10"/>
      <c r="DJ30" s="10"/>
      <c r="DK30" s="1"/>
    </row>
    <row r="31" spans="1:115">
      <c r="A31" s="1"/>
      <c r="B31" s="2" t="s">
        <v>8</v>
      </c>
      <c r="C31" s="2"/>
      <c r="D31" s="2"/>
      <c r="E31" s="2"/>
      <c r="F31" s="2"/>
      <c r="G31" s="2"/>
      <c r="H31" s="2"/>
      <c r="I31" s="2"/>
      <c r="L31" s="10"/>
      <c r="M31" s="10"/>
      <c r="N31" s="10"/>
      <c r="O31" s="10"/>
      <c r="P31" s="10"/>
      <c r="Q31" s="10"/>
      <c r="R31" s="31"/>
      <c r="S31" s="1"/>
      <c r="T31" s="2" t="s">
        <v>8</v>
      </c>
      <c r="U31" s="2"/>
      <c r="V31" s="2"/>
      <c r="W31" s="2"/>
      <c r="X31" s="2"/>
      <c r="Y31" s="2"/>
      <c r="Z31" s="2"/>
      <c r="AA31" s="2"/>
      <c r="AB31" s="10"/>
      <c r="AC31" s="10"/>
      <c r="AD31" s="10"/>
      <c r="AE31" s="10"/>
      <c r="AF31" s="10"/>
      <c r="AG31" s="10"/>
      <c r="AH31" s="10"/>
      <c r="AI31" s="10"/>
      <c r="AJ31" s="31"/>
      <c r="AK31" s="1"/>
      <c r="AL31" s="2" t="s">
        <v>8</v>
      </c>
      <c r="AM31" s="2"/>
      <c r="AN31" s="2"/>
      <c r="AO31" s="2"/>
      <c r="AP31" s="2"/>
      <c r="AQ31" s="2"/>
      <c r="AR31" s="2"/>
      <c r="AS31" s="2"/>
      <c r="AV31" s="10"/>
      <c r="AW31" s="10"/>
      <c r="AX31" s="10"/>
      <c r="AY31" s="1"/>
      <c r="AZ31" s="2" t="s">
        <v>8</v>
      </c>
      <c r="BA31" s="2"/>
      <c r="BB31" s="2"/>
      <c r="BC31" s="2"/>
      <c r="BD31" s="2"/>
      <c r="BE31" s="2"/>
      <c r="BF31" s="2"/>
      <c r="BG31" s="2"/>
      <c r="BH31" s="10"/>
      <c r="BI31" s="10"/>
      <c r="BJ31" s="10"/>
      <c r="BK31" s="10"/>
      <c r="BL31" s="10"/>
      <c r="BM31" s="10"/>
      <c r="BN31" s="10"/>
      <c r="BO31" s="10"/>
      <c r="BP31" s="31"/>
      <c r="BQ31" s="1"/>
      <c r="BR31" s="2" t="s">
        <v>8</v>
      </c>
      <c r="BS31" s="2"/>
      <c r="BT31" s="2"/>
      <c r="BU31" s="2"/>
      <c r="BV31" s="2"/>
      <c r="BW31" s="2"/>
      <c r="BX31" s="2"/>
      <c r="BY31" s="2"/>
      <c r="BZ31" s="10"/>
      <c r="CA31" s="10"/>
      <c r="CB31" s="10"/>
      <c r="CC31" s="10"/>
      <c r="CD31" s="10"/>
      <c r="CE31" s="10"/>
      <c r="CF31" s="10"/>
      <c r="CG31" s="10"/>
      <c r="CH31" s="31"/>
      <c r="CI31" s="1"/>
      <c r="CJ31" s="2" t="s">
        <v>8</v>
      </c>
      <c r="CK31" s="2"/>
      <c r="CL31" s="2"/>
      <c r="CM31" s="2"/>
      <c r="CN31" s="2"/>
      <c r="CO31" s="2"/>
      <c r="CP31" s="2"/>
      <c r="CQ31" s="2"/>
      <c r="CR31" s="10"/>
      <c r="CS31" s="10"/>
      <c r="CT31" s="10"/>
      <c r="CU31" s="10"/>
      <c r="CV31" s="10"/>
      <c r="CW31" s="1"/>
      <c r="CX31" s="2" t="s">
        <v>8</v>
      </c>
      <c r="CY31" s="2"/>
      <c r="CZ31" s="2"/>
      <c r="DA31" s="2"/>
      <c r="DB31" s="2"/>
      <c r="DC31" s="2"/>
      <c r="DD31" s="2"/>
      <c r="DE31" s="2"/>
      <c r="DF31" s="10"/>
      <c r="DG31" s="10"/>
      <c r="DH31" s="10"/>
      <c r="DI31" s="10"/>
      <c r="DJ31" s="10"/>
      <c r="DK31" s="1"/>
    </row>
    <row r="32" spans="1:115">
      <c r="A32" s="1"/>
      <c r="B32" s="2" t="s">
        <v>9</v>
      </c>
      <c r="C32" s="3" t="s">
        <v>10</v>
      </c>
      <c r="D32" s="3" t="s">
        <v>10</v>
      </c>
      <c r="E32" s="19">
        <v>114.959526</v>
      </c>
      <c r="F32" s="19" t="s">
        <v>10</v>
      </c>
      <c r="G32" s="19" t="s">
        <v>10</v>
      </c>
      <c r="H32" s="19">
        <v>190.82146499999999</v>
      </c>
      <c r="I32" s="19">
        <v>131.235049</v>
      </c>
      <c r="J32" s="12">
        <f>H32/(SUM(C32:I32))</f>
        <v>0.43664636428447801</v>
      </c>
      <c r="K32" s="12">
        <f>I32/(SUM(D32:J32))</f>
        <v>0.29999826973451321</v>
      </c>
      <c r="L32" s="17">
        <f>SUM(C32:I32)</f>
        <v>437.01603999999998</v>
      </c>
      <c r="M32" s="24">
        <f t="shared" ref="M32:M41" si="14">E32*$BU$57</f>
        <v>75.873287160000004</v>
      </c>
      <c r="N32" s="24">
        <f>(M32-'0. Current system'!$L32)</f>
        <v>-205.49807651999998</v>
      </c>
      <c r="O32" s="12">
        <f>(M32-'0. Current system'!$L32)/'0. Current system'!$L32</f>
        <v>-0.73034467272124493</v>
      </c>
      <c r="P32" s="24">
        <f>-(G5-'0. Current system'!$G5)*$L32/(N32)</f>
        <v>-206.49477201622386</v>
      </c>
      <c r="Q32" s="24">
        <f>-(G5-'1. Diesel, no storage'!$G5)*$L32/(M32-'1. Diesel, no storage'!$M32)</f>
        <v>-220.56837500555892</v>
      </c>
      <c r="R32" s="29">
        <f>P32*N32/1000</f>
        <v>42.434278460769924</v>
      </c>
      <c r="S32" s="1"/>
      <c r="T32" s="2" t="s">
        <v>9</v>
      </c>
      <c r="U32" s="3" t="s">
        <v>10</v>
      </c>
      <c r="V32" s="3" t="s">
        <v>10</v>
      </c>
      <c r="W32" s="19">
        <v>114.959526</v>
      </c>
      <c r="X32" s="19" t="s">
        <v>10</v>
      </c>
      <c r="Y32" s="19" t="s">
        <v>10</v>
      </c>
      <c r="Z32" s="19">
        <v>190.749222</v>
      </c>
      <c r="AA32" s="19">
        <v>131.30729199999999</v>
      </c>
      <c r="AB32" s="12">
        <f t="shared" ref="AB32:AB41" si="15">Z32/(SUM($BS32:$BY32))</f>
        <v>0.4364810545626655</v>
      </c>
      <c r="AC32" s="12">
        <f t="shared" ref="AC32:AC41" si="16">AA32/(SUM($BS32:$BY32))</f>
        <v>0.30046332395488273</v>
      </c>
      <c r="AD32" s="17">
        <f>SUM(U32:AA32)</f>
        <v>437.01603999999998</v>
      </c>
      <c r="AE32" s="24">
        <f t="shared" ref="AE32:AE41" si="17">W32*$BU$57</f>
        <v>75.873287160000004</v>
      </c>
      <c r="AF32" s="24">
        <f>-(AE32-'0. Current system'!$L32)</f>
        <v>205.49807651999998</v>
      </c>
      <c r="AG32" s="12">
        <f>(AE32-'0. Current system'!$L32)/'0. Current system'!$L32</f>
        <v>-0.73034467272124493</v>
      </c>
      <c r="AH32" s="24">
        <f>(Y5-'0. Current system'!$G5)*$L32/(AF32)</f>
        <v>-206.49477201622386</v>
      </c>
      <c r="AI32" s="24">
        <f>-(Y5-'1. Diesel, no storage'!$G5)*$L32/(AE32-'1. Diesel, no storage'!$M32)</f>
        <v>-220.56837500555892</v>
      </c>
      <c r="AJ32" s="29">
        <f>AH32*AF32/1000</f>
        <v>-42.434278460769924</v>
      </c>
      <c r="AK32" s="1"/>
      <c r="AL32" s="2" t="s">
        <v>9</v>
      </c>
      <c r="AM32" s="3" t="s">
        <v>10</v>
      </c>
      <c r="AN32" s="3" t="s">
        <v>10</v>
      </c>
      <c r="AO32" s="19">
        <v>114.959526</v>
      </c>
      <c r="AP32" s="19" t="s">
        <v>10</v>
      </c>
      <c r="AQ32" s="19" t="s">
        <v>10</v>
      </c>
      <c r="AR32" s="19">
        <v>190.77154100000001</v>
      </c>
      <c r="AS32" s="19">
        <v>131.28497300000001</v>
      </c>
      <c r="AT32" s="12">
        <f>AR32/(SUM(AM32:AS32))</f>
        <v>0.43653212591464613</v>
      </c>
      <c r="AU32" s="12">
        <f>AS32/(SUM(AN32:AT32))</f>
        <v>0.30011247244926809</v>
      </c>
      <c r="AV32" s="55">
        <f>SUM(AM32:AS32)</f>
        <v>437.01603999999998</v>
      </c>
      <c r="AW32" s="24">
        <f t="shared" ref="AW32:AW41" si="18">AO32*$BU$57</f>
        <v>75.873287160000004</v>
      </c>
      <c r="AX32" s="24">
        <f>-(AQ5-'0. Current system'!$G5)*SUM(AM32:AS32)/(AW32-'0. Current system'!$L32)</f>
        <v>-199.37514202982751</v>
      </c>
      <c r="AY32" s="1"/>
      <c r="AZ32" s="2" t="s">
        <v>9</v>
      </c>
      <c r="BA32" s="3" t="s">
        <v>10</v>
      </c>
      <c r="BB32" s="3" t="s">
        <v>10</v>
      </c>
      <c r="BC32" s="19">
        <v>83.473933000000002</v>
      </c>
      <c r="BD32" s="19" t="s">
        <v>10</v>
      </c>
      <c r="BE32" s="19" t="s">
        <v>10</v>
      </c>
      <c r="BF32" s="19">
        <v>275.60027500000001</v>
      </c>
      <c r="BG32" s="19">
        <v>77.941832000000005</v>
      </c>
      <c r="BH32" s="12">
        <f t="shared" ref="BH32:BH41" si="19">BF32/(SUM($BS32:$BY32))</f>
        <v>0.63064109729244722</v>
      </c>
      <c r="BI32" s="12">
        <f t="shared" ref="BI32:BI41" si="20">BG32/(SUM($BS32:$BY32))</f>
        <v>0.17835004866182946</v>
      </c>
      <c r="BJ32" s="17">
        <f>SUM(BA32:BG32)</f>
        <v>437.01603999999998</v>
      </c>
      <c r="BK32" s="24">
        <f t="shared" ref="BK32:BK41" si="21">BC32*$BU$57</f>
        <v>55.092795780000003</v>
      </c>
      <c r="BL32" s="24">
        <f>-(BK32-'0. Current system'!$L32)</f>
        <v>226.27856789999998</v>
      </c>
      <c r="BM32" s="12">
        <f>(BK32-'0. Current system'!$L32)/'0. Current system'!$L32</f>
        <v>-0.80419899502404113</v>
      </c>
      <c r="BN32" s="24">
        <f>(BE5-'0. Current system'!$G5)*BJ32/(BL32)</f>
        <v>-199.19748240603144</v>
      </c>
      <c r="BO32" s="24">
        <f>-(BE5-'1. Diesel, no storage'!$G5)*BJ32/(BK32-'1. Diesel, no storage'!$M32)</f>
        <v>-197.64047278086989</v>
      </c>
      <c r="BP32" s="29">
        <f>BN32*BL32/1000</f>
        <v>-45.074121048122237</v>
      </c>
      <c r="BQ32" s="1"/>
      <c r="BR32" s="2" t="s">
        <v>9</v>
      </c>
      <c r="BS32" s="3" t="s">
        <v>10</v>
      </c>
      <c r="BT32" s="3" t="s">
        <v>10</v>
      </c>
      <c r="BU32" s="19">
        <v>150.82275300000001</v>
      </c>
      <c r="BV32" s="19" t="s">
        <v>10</v>
      </c>
      <c r="BW32" s="19" t="s">
        <v>10</v>
      </c>
      <c r="BX32" s="19">
        <v>98.711764000000002</v>
      </c>
      <c r="BY32" s="19">
        <v>187.48152300000001</v>
      </c>
      <c r="BZ32" s="12">
        <f t="shared" ref="BZ32:BZ41" si="22">BX32/(SUM($BS32:$BY32))</f>
        <v>0.22587675271598728</v>
      </c>
      <c r="CA32" s="12">
        <f t="shared" ref="CA32:CA41" si="23">BY32/(SUM($BS32:$BY32))</f>
        <v>0.42900375693304077</v>
      </c>
      <c r="CB32" s="55">
        <f>SUM(BS32:BY32)</f>
        <v>437.01603999999998</v>
      </c>
      <c r="CC32" s="24">
        <f t="shared" ref="CC32:CC41" si="24">BU32*$BU$57</f>
        <v>99.543016980000004</v>
      </c>
      <c r="CD32" s="24">
        <f>-(BW5-'0. Current system'!$G5)*SUM(BS32:BY32)/(CC32-'0. Current system'!$L32)</f>
        <v>-214.07144524095418</v>
      </c>
      <c r="CE32" s="12"/>
      <c r="CF32" s="24"/>
      <c r="CG32" s="24"/>
      <c r="CH32" s="29"/>
      <c r="CI32" s="1"/>
      <c r="CJ32" s="2" t="s">
        <v>9</v>
      </c>
      <c r="CK32" s="3" t="s">
        <v>10</v>
      </c>
      <c r="CL32" s="3" t="s">
        <v>10</v>
      </c>
      <c r="CM32" s="3">
        <v>83.473933000000002</v>
      </c>
      <c r="CN32" s="3" t="s">
        <v>10</v>
      </c>
      <c r="CO32" s="3" t="s">
        <v>10</v>
      </c>
      <c r="CP32" s="3">
        <v>275.58284600000002</v>
      </c>
      <c r="CQ32" s="3">
        <v>77.959260999999998</v>
      </c>
      <c r="CR32" s="12">
        <f t="shared" ref="CR32:CR41" si="25">CP32/(SUM($BS32:$BY32))</f>
        <v>0.63060121546110759</v>
      </c>
      <c r="CS32" s="12">
        <f t="shared" ref="CS32:CS41" si="26">CQ32/(SUM($BS32:$BY32))</f>
        <v>0.17838993049316909</v>
      </c>
      <c r="CT32" s="55">
        <f>SUM(CK32:CQ32)</f>
        <v>437.01603999999998</v>
      </c>
      <c r="CU32" s="24">
        <f t="shared" ref="CU32:CU41" si="27">CM32*$BU$57</f>
        <v>55.092795780000003</v>
      </c>
      <c r="CV32" s="24">
        <f>-(CO5-'0. Current system'!$G5)*SUM(CK32:CQ32)/(CU32-'0. Current system'!$L32)</f>
        <v>-199.19748240603144</v>
      </c>
      <c r="CW32" s="1"/>
      <c r="CX32" s="2" t="s">
        <v>9</v>
      </c>
      <c r="CY32" s="3" t="s">
        <v>10</v>
      </c>
      <c r="CZ32" s="3" t="s">
        <v>10</v>
      </c>
      <c r="DA32" s="3">
        <v>69.72578</v>
      </c>
      <c r="DB32" s="3" t="s">
        <v>10</v>
      </c>
      <c r="DC32" s="3" t="s">
        <v>10</v>
      </c>
      <c r="DD32" s="3">
        <v>288.51665700000001</v>
      </c>
      <c r="DE32" s="3">
        <v>78.773602999999994</v>
      </c>
      <c r="DF32" s="12">
        <f t="shared" ref="DF32:DF41" si="28">DD32/(SUM($BS32:$BY32))</f>
        <v>0.66019695066570105</v>
      </c>
      <c r="DG32" s="12">
        <f t="shared" ref="DG32:DG41" si="29">DE32/(SUM($BS32:$BY32))</f>
        <v>0.18025334493443307</v>
      </c>
      <c r="DH32" s="55">
        <f>SUM(CY32:DE32)</f>
        <v>437.01603999999998</v>
      </c>
      <c r="DI32" s="24">
        <f t="shared" ref="DI32:DI41" si="30">DA32*$BU$57</f>
        <v>46.019014800000001</v>
      </c>
      <c r="DJ32" s="24">
        <f>-(DC5-'0. Current system'!$G5)*SUM(CY32:DE32)/(DI32-'0. Current system'!$L32)</f>
        <v>-194.00713536737081</v>
      </c>
      <c r="DK32" s="1"/>
    </row>
    <row r="33" spans="1:115">
      <c r="A33" s="1"/>
      <c r="B33" s="2" t="s">
        <v>11</v>
      </c>
      <c r="C33" s="3">
        <v>73.790228999999997</v>
      </c>
      <c r="D33" s="3" t="s">
        <v>10</v>
      </c>
      <c r="E33" s="19">
        <v>193.71792500000001</v>
      </c>
      <c r="F33" s="19" t="s">
        <v>10</v>
      </c>
      <c r="G33" s="19" t="s">
        <v>10</v>
      </c>
      <c r="H33" s="19">
        <v>476.39259500000003</v>
      </c>
      <c r="I33" s="19">
        <v>458.02135099999998</v>
      </c>
      <c r="J33" s="12">
        <f t="shared" ref="J33:J41" si="31">H33/(SUM(C33:I33))</f>
        <v>0.39635896120056369</v>
      </c>
      <c r="K33" s="12">
        <f t="shared" ref="K33:K41" si="32">I33/(SUM(D33:J33))</f>
        <v>0.40585723851652961</v>
      </c>
      <c r="L33" s="17">
        <f t="shared" ref="L33:L41" si="33">SUM(C33:I33)</f>
        <v>1201.9221</v>
      </c>
      <c r="M33" s="24">
        <f t="shared" si="14"/>
        <v>127.85383050000002</v>
      </c>
      <c r="N33" s="24">
        <f>(M33-'0. Current system'!$L33)</f>
        <v>-539.52351221999993</v>
      </c>
      <c r="O33" s="12">
        <f>(M33-'0. Current system'!$L33)/'0. Current system'!$L33</f>
        <v>-0.80842347752036059</v>
      </c>
      <c r="P33" s="24">
        <f>-(G6-'0. Current system'!$G6)*$L33/(N33)</f>
        <v>-207.28292861302637</v>
      </c>
      <c r="Q33" s="24">
        <f>-(G6-'1. Diesel, no storage'!$G6)*$L33/(M33-'1. Diesel, no storage'!$M33)</f>
        <v>-239.69974758946924</v>
      </c>
      <c r="R33" s="29">
        <f t="shared" ref="R33:R41" si="34">P33*N33/1000</f>
        <v>111.8340136685475</v>
      </c>
      <c r="S33" s="1"/>
      <c r="T33" s="2" t="s">
        <v>11</v>
      </c>
      <c r="U33" s="3">
        <v>80.221585000000005</v>
      </c>
      <c r="V33" s="3" t="s">
        <v>10</v>
      </c>
      <c r="W33" s="19">
        <v>252.87343000000001</v>
      </c>
      <c r="X33" s="19" t="s">
        <v>10</v>
      </c>
      <c r="Y33" s="19" t="s">
        <v>10</v>
      </c>
      <c r="Z33" s="19">
        <v>498.95883500000002</v>
      </c>
      <c r="AA33" s="19">
        <v>369.86824999999999</v>
      </c>
      <c r="AB33" s="12">
        <f t="shared" si="15"/>
        <v>0.41513408814098685</v>
      </c>
      <c r="AC33" s="12">
        <f t="shared" si="16"/>
        <v>0.30773063412345941</v>
      </c>
      <c r="AD33" s="17">
        <f t="shared" ref="AD33:AD41" si="35">SUM(U33:AA33)</f>
        <v>1201.9221</v>
      </c>
      <c r="AE33" s="24">
        <f t="shared" si="17"/>
        <v>166.89646380000002</v>
      </c>
      <c r="AF33" s="24">
        <f>-(AE33-'0. Current system'!$L33)</f>
        <v>500.48087892000001</v>
      </c>
      <c r="AG33" s="12">
        <f>(AE33-'0. Current system'!$L33)/'0. Current system'!$L33</f>
        <v>-0.74992189108520291</v>
      </c>
      <c r="AH33" s="24">
        <f>(Y6-'0. Current system'!$G6)*$L33/(AF33)</f>
        <v>-201.05362297047074</v>
      </c>
      <c r="AI33" s="24">
        <f>-(Y6-'1. Diesel, no storage'!$G6)*$L33/(AE33-'1. Diesel, no storage'!$M33)</f>
        <v>-224.60081249691109</v>
      </c>
      <c r="AJ33" s="29">
        <f t="shared" ref="AJ33:AJ41" si="36">AH33*AF33/1000</f>
        <v>-100.6234939343115</v>
      </c>
      <c r="AK33" s="1"/>
      <c r="AL33" s="2" t="s">
        <v>11</v>
      </c>
      <c r="AM33" s="3">
        <v>74.971931999999995</v>
      </c>
      <c r="AN33" s="3" t="s">
        <v>10</v>
      </c>
      <c r="AO33" s="19">
        <v>208.27133499999999</v>
      </c>
      <c r="AP33" s="19" t="s">
        <v>10</v>
      </c>
      <c r="AQ33" s="19" t="s">
        <v>10</v>
      </c>
      <c r="AR33" s="19">
        <v>420.59362599999997</v>
      </c>
      <c r="AS33" s="19">
        <v>498.08520700000003</v>
      </c>
      <c r="AT33" s="12">
        <f t="shared" ref="AT33:AU41" si="37">AR33/(SUM(AM33:AS33))</f>
        <v>0.34993418125850251</v>
      </c>
      <c r="AU33" s="12">
        <f t="shared" si="37"/>
        <v>0.44183905069842078</v>
      </c>
      <c r="AV33" s="55">
        <f t="shared" ref="AV33:AV41" si="38">SUM(AM33:AS33)</f>
        <v>1201.9221</v>
      </c>
      <c r="AW33" s="24">
        <f t="shared" si="18"/>
        <v>137.45908109999999</v>
      </c>
      <c r="AX33" s="24">
        <f>-(AQ6-'0. Current system'!$G6)*SUM(AM33:AS33)/(AW33-'0. Current system'!$L33)</f>
        <v>-203.26666268615406</v>
      </c>
      <c r="AY33" s="1"/>
      <c r="AZ33" s="2" t="s">
        <v>11</v>
      </c>
      <c r="BA33" s="3">
        <v>69.730574000000004</v>
      </c>
      <c r="BB33" s="3" t="s">
        <v>10</v>
      </c>
      <c r="BC33" s="19">
        <v>147.273031</v>
      </c>
      <c r="BD33" s="19" t="s">
        <v>10</v>
      </c>
      <c r="BE33" s="19" t="s">
        <v>10</v>
      </c>
      <c r="BF33" s="19">
        <v>610.63192500000002</v>
      </c>
      <c r="BG33" s="19">
        <v>374.28656899999999</v>
      </c>
      <c r="BH33" s="12">
        <f t="shared" si="19"/>
        <v>0.50804617453993073</v>
      </c>
      <c r="BI33" s="12">
        <f t="shared" si="20"/>
        <v>0.31140667851934828</v>
      </c>
      <c r="BJ33" s="17">
        <f t="shared" ref="BJ33:BJ41" si="39">SUM(BA33:BG33)</f>
        <v>1201.9220989999999</v>
      </c>
      <c r="BK33" s="24">
        <f t="shared" si="21"/>
        <v>97.200200460000005</v>
      </c>
      <c r="BL33" s="24">
        <f>-(BK33-'0. Current system'!$L33)</f>
        <v>570.17714225999998</v>
      </c>
      <c r="BM33" s="12">
        <f>(BK33-'0. Current system'!$L33)/'0. Current system'!$L33</f>
        <v>-0.85435495897441538</v>
      </c>
      <c r="BN33" s="24">
        <f>(BE6-'0. Current system'!$G6)*BJ33/(BL33)</f>
        <v>-199.41720532035066</v>
      </c>
      <c r="BO33" s="24">
        <f>-(BE6-'1. Diesel, no storage'!$G6)*BJ33/(BK33-'1. Diesel, no storage'!$M33)</f>
        <v>-211.2182425378808</v>
      </c>
      <c r="BP33" s="29">
        <f t="shared" ref="BP33:BP41" si="40">BN33*BL33/1000</f>
        <v>-113.70313224703321</v>
      </c>
      <c r="BQ33" s="1"/>
      <c r="BR33" s="2" t="s">
        <v>11</v>
      </c>
      <c r="BS33" s="3">
        <v>81.836977000000005</v>
      </c>
      <c r="BT33" s="3" t="s">
        <v>10</v>
      </c>
      <c r="BU33" s="19">
        <v>353.54054500000001</v>
      </c>
      <c r="BV33" s="19" t="s">
        <v>10</v>
      </c>
      <c r="BW33" s="19" t="s">
        <v>10</v>
      </c>
      <c r="BX33" s="19">
        <v>396.54132399999997</v>
      </c>
      <c r="BY33" s="19">
        <v>370.00325400000003</v>
      </c>
      <c r="BZ33" s="12">
        <f t="shared" si="22"/>
        <v>0.32992264972912966</v>
      </c>
      <c r="CA33" s="12">
        <f t="shared" si="23"/>
        <v>0.30784295754275592</v>
      </c>
      <c r="CB33" s="55">
        <f t="shared" ref="CB33:CB41" si="41">SUM(BS33:BY33)</f>
        <v>1201.9221</v>
      </c>
      <c r="CC33" s="24">
        <f t="shared" si="24"/>
        <v>233.33675970000002</v>
      </c>
      <c r="CD33" s="24">
        <f>-(BW6-'0. Current system'!$G6)*SUM(BS33:BY33)/(CC33-'0. Current system'!$L33)</f>
        <v>-200.03700765752785</v>
      </c>
      <c r="CE33" s="12"/>
      <c r="CF33" s="24"/>
      <c r="CG33" s="24"/>
      <c r="CH33" s="29"/>
      <c r="CI33" s="1"/>
      <c r="CJ33" s="2" t="s">
        <v>11</v>
      </c>
      <c r="CK33" s="3">
        <v>80.264572999999999</v>
      </c>
      <c r="CL33" s="3" t="s">
        <v>10</v>
      </c>
      <c r="CM33" s="3">
        <v>252.60035199999999</v>
      </c>
      <c r="CN33" s="3" t="s">
        <v>10</v>
      </c>
      <c r="CO33" s="3" t="s">
        <v>10</v>
      </c>
      <c r="CP33" s="3">
        <v>499.42536899999999</v>
      </c>
      <c r="CQ33" s="3">
        <v>369.63180599999998</v>
      </c>
      <c r="CR33" s="12">
        <f t="shared" si="25"/>
        <v>0.41552224474448052</v>
      </c>
      <c r="CS33" s="12">
        <f t="shared" si="26"/>
        <v>0.30753391255556412</v>
      </c>
      <c r="CT33" s="55">
        <f t="shared" ref="CT33:CT41" si="42">SUM(CK33:CQ33)</f>
        <v>1201.9220999999998</v>
      </c>
      <c r="CU33" s="24">
        <f t="shared" si="27"/>
        <v>166.71623231999999</v>
      </c>
      <c r="CV33" s="24">
        <f>-(CO6-'0. Current system'!$G6)*SUM(CK33:CQ33)/(CU33-'0. Current system'!$L33)</f>
        <v>-201.43105261730787</v>
      </c>
      <c r="CW33" s="1"/>
      <c r="CX33" s="2" t="s">
        <v>11</v>
      </c>
      <c r="CY33" s="3">
        <v>81.325964999999997</v>
      </c>
      <c r="CZ33" s="3" t="s">
        <v>10</v>
      </c>
      <c r="DA33" s="3">
        <v>251.52621099999999</v>
      </c>
      <c r="DB33" s="3" t="s">
        <v>10</v>
      </c>
      <c r="DC33" s="3" t="s">
        <v>10</v>
      </c>
      <c r="DD33" s="3">
        <v>499.21542499999998</v>
      </c>
      <c r="DE33" s="3">
        <v>369.85449899999998</v>
      </c>
      <c r="DF33" s="12">
        <f t="shared" si="28"/>
        <v>0.41534757119450583</v>
      </c>
      <c r="DG33" s="12">
        <f t="shared" si="29"/>
        <v>0.3077191932821603</v>
      </c>
      <c r="DH33" s="55">
        <f t="shared" ref="DH33:DH41" si="43">SUM(CY33:DE33)</f>
        <v>1201.9221</v>
      </c>
      <c r="DI33" s="24">
        <f t="shared" si="30"/>
        <v>166.00729926</v>
      </c>
      <c r="DJ33" s="24">
        <f>-(DC6-'0. Current system'!$G6)*SUM(CY33:DE33)/(DI33-'0. Current system'!$L33)</f>
        <v>-198.71424518063543</v>
      </c>
      <c r="DK33" s="1"/>
    </row>
    <row r="34" spans="1:115">
      <c r="A34" s="1"/>
      <c r="B34" s="2" t="s">
        <v>12</v>
      </c>
      <c r="C34" s="3" t="s">
        <v>10</v>
      </c>
      <c r="D34" s="3" t="s">
        <v>10</v>
      </c>
      <c r="E34" s="19">
        <v>0</v>
      </c>
      <c r="F34" s="19">
        <v>82.737200000000001</v>
      </c>
      <c r="G34" s="19">
        <v>44.743699999999997</v>
      </c>
      <c r="H34" s="19">
        <v>0</v>
      </c>
      <c r="I34" s="19">
        <v>0</v>
      </c>
      <c r="J34" s="12">
        <f t="shared" si="31"/>
        <v>0</v>
      </c>
      <c r="K34" s="12">
        <f t="shared" si="32"/>
        <v>0</v>
      </c>
      <c r="L34" s="17">
        <f t="shared" si="33"/>
        <v>127.48089999999999</v>
      </c>
      <c r="M34" s="24">
        <f t="shared" si="14"/>
        <v>0</v>
      </c>
      <c r="N34" s="24">
        <f>(M34-'0. Current system'!$L34)</f>
        <v>-45.978834000000006</v>
      </c>
      <c r="O34" s="12">
        <f>(M34-'0. Current system'!$L34)/'0. Current system'!$L34</f>
        <v>-1</v>
      </c>
      <c r="P34" s="24">
        <f>-(G7-'0. Current system'!$G7)*$L34/(N34)</f>
        <v>-47.932955410785333</v>
      </c>
      <c r="Q34" s="24"/>
      <c r="R34" s="29">
        <f t="shared" si="34"/>
        <v>2.203901399961901</v>
      </c>
      <c r="S34" s="1"/>
      <c r="T34" s="2" t="s">
        <v>12</v>
      </c>
      <c r="U34" s="3" t="s">
        <v>10</v>
      </c>
      <c r="V34" s="3" t="s">
        <v>10</v>
      </c>
      <c r="W34" s="19">
        <v>0</v>
      </c>
      <c r="X34" s="19">
        <v>82.737200000000001</v>
      </c>
      <c r="Y34" s="19">
        <v>44.743699999999997</v>
      </c>
      <c r="Z34" s="19">
        <v>0</v>
      </c>
      <c r="AA34" s="19">
        <v>0</v>
      </c>
      <c r="AB34" s="12">
        <f t="shared" si="15"/>
        <v>0</v>
      </c>
      <c r="AC34" s="12">
        <f t="shared" si="16"/>
        <v>0</v>
      </c>
      <c r="AD34" s="17">
        <f t="shared" si="35"/>
        <v>127.48089999999999</v>
      </c>
      <c r="AE34" s="24">
        <f t="shared" si="17"/>
        <v>0</v>
      </c>
      <c r="AF34" s="24">
        <f>-(AE34-'0. Current system'!$L34)</f>
        <v>45.978834000000006</v>
      </c>
      <c r="AG34" s="12">
        <f>(AE34-'0. Current system'!$L34)/'0. Current system'!$L34</f>
        <v>-1</v>
      </c>
      <c r="AH34" s="24">
        <f>(Y7-'0. Current system'!$G7)*$L34/(AF34)</f>
        <v>-47.932955410785333</v>
      </c>
      <c r="AI34" s="24"/>
      <c r="AJ34" s="29">
        <f t="shared" si="36"/>
        <v>-2.203901399961901</v>
      </c>
      <c r="AK34" s="1"/>
      <c r="AL34" s="2" t="s">
        <v>12</v>
      </c>
      <c r="AM34" s="3" t="s">
        <v>10</v>
      </c>
      <c r="AN34" s="3" t="s">
        <v>10</v>
      </c>
      <c r="AO34" s="19">
        <v>0</v>
      </c>
      <c r="AP34" s="19">
        <v>82.737200000000001</v>
      </c>
      <c r="AQ34" s="19">
        <v>44.743699999999997</v>
      </c>
      <c r="AR34" s="19">
        <v>0</v>
      </c>
      <c r="AS34" s="19">
        <v>0</v>
      </c>
      <c r="AT34" s="12">
        <f t="shared" si="37"/>
        <v>0</v>
      </c>
      <c r="AU34" s="12">
        <f t="shared" si="37"/>
        <v>0</v>
      </c>
      <c r="AV34" s="55">
        <f t="shared" si="38"/>
        <v>127.48089999999999</v>
      </c>
      <c r="AW34" s="24">
        <f t="shared" si="18"/>
        <v>0</v>
      </c>
      <c r="AX34" s="24">
        <f>-(AQ7-'0. Current system'!$G7)*SUM(AM34:AS34)/(AW34-'0. Current system'!$L34)</f>
        <v>-47.932955410785333</v>
      </c>
      <c r="AY34" s="1"/>
      <c r="AZ34" s="2" t="s">
        <v>12</v>
      </c>
      <c r="BA34" s="3" t="s">
        <v>10</v>
      </c>
      <c r="BB34" s="3" t="s">
        <v>10</v>
      </c>
      <c r="BC34" s="19">
        <v>0</v>
      </c>
      <c r="BD34" s="19">
        <v>82.737200000000001</v>
      </c>
      <c r="BE34" s="19">
        <v>44.743699999999997</v>
      </c>
      <c r="BF34" s="19">
        <v>0</v>
      </c>
      <c r="BG34" s="19">
        <v>0</v>
      </c>
      <c r="BH34" s="12">
        <f t="shared" si="19"/>
        <v>0</v>
      </c>
      <c r="BI34" s="12">
        <f t="shared" si="20"/>
        <v>0</v>
      </c>
      <c r="BJ34" s="17">
        <f t="shared" si="39"/>
        <v>127.48089999999999</v>
      </c>
      <c r="BK34" s="24">
        <f t="shared" si="21"/>
        <v>0</v>
      </c>
      <c r="BL34" s="24">
        <f>-(BK34-'0. Current system'!$L34)</f>
        <v>45.978834000000006</v>
      </c>
      <c r="BM34" s="12">
        <f>(BK34-'0. Current system'!$L34)/'0. Current system'!$L34</f>
        <v>-1</v>
      </c>
      <c r="BN34" s="24">
        <f>(BE7-'0. Current system'!$G7)*BJ34/(BL34)</f>
        <v>-47.932955410785333</v>
      </c>
      <c r="BO34" s="24"/>
      <c r="BP34" s="29">
        <f t="shared" si="40"/>
        <v>-2.203901399961901</v>
      </c>
      <c r="BQ34" s="1"/>
      <c r="BR34" s="2" t="s">
        <v>12</v>
      </c>
      <c r="BS34" s="3" t="s">
        <v>10</v>
      </c>
      <c r="BT34" s="3" t="s">
        <v>10</v>
      </c>
      <c r="BU34" s="19">
        <v>0</v>
      </c>
      <c r="BV34" s="19">
        <v>82.737200000000001</v>
      </c>
      <c r="BW34" s="19">
        <v>44.743699999999997</v>
      </c>
      <c r="BX34" s="19">
        <v>0</v>
      </c>
      <c r="BY34" s="19">
        <v>0</v>
      </c>
      <c r="BZ34" s="12">
        <f t="shared" si="22"/>
        <v>0</v>
      </c>
      <c r="CA34" s="12">
        <f t="shared" si="23"/>
        <v>0</v>
      </c>
      <c r="CB34" s="55">
        <f t="shared" si="41"/>
        <v>127.48089999999999</v>
      </c>
      <c r="CC34" s="24">
        <f t="shared" si="24"/>
        <v>0</v>
      </c>
      <c r="CD34" s="24">
        <f>-(BW7-'0. Current system'!$G7)*SUM(BS34:BY34)/(CC34-'0. Current system'!$L34)</f>
        <v>-47.932955410785333</v>
      </c>
      <c r="CE34" s="12"/>
      <c r="CF34" s="24"/>
      <c r="CG34" s="24"/>
      <c r="CH34" s="29"/>
      <c r="CI34" s="1"/>
      <c r="CJ34" s="2" t="s">
        <v>12</v>
      </c>
      <c r="CK34" s="3" t="s">
        <v>10</v>
      </c>
      <c r="CL34" s="3" t="s">
        <v>10</v>
      </c>
      <c r="CM34" s="3">
        <v>0</v>
      </c>
      <c r="CN34" s="3">
        <v>82.737200000000001</v>
      </c>
      <c r="CO34" s="3">
        <v>44.743699999999997</v>
      </c>
      <c r="CP34" s="3">
        <v>0</v>
      </c>
      <c r="CQ34" s="3">
        <v>0</v>
      </c>
      <c r="CR34" s="12">
        <f t="shared" si="25"/>
        <v>0</v>
      </c>
      <c r="CS34" s="12">
        <f t="shared" si="26"/>
        <v>0</v>
      </c>
      <c r="CT34" s="55">
        <f t="shared" si="42"/>
        <v>127.48089999999999</v>
      </c>
      <c r="CU34" s="24">
        <f t="shared" si="27"/>
        <v>0</v>
      </c>
      <c r="CV34" s="24">
        <f>-(CO7-'0. Current system'!$G7)*SUM(CK34:CQ34)/(CU34-'0. Current system'!$L34)</f>
        <v>-47.932955410785333</v>
      </c>
      <c r="CW34" s="1"/>
      <c r="CX34" s="2" t="s">
        <v>12</v>
      </c>
      <c r="CY34" s="3" t="s">
        <v>10</v>
      </c>
      <c r="CZ34" s="3" t="s">
        <v>10</v>
      </c>
      <c r="DA34" s="3">
        <v>0</v>
      </c>
      <c r="DB34" s="3">
        <v>82.737200000000001</v>
      </c>
      <c r="DC34" s="3">
        <v>44.743699999999997</v>
      </c>
      <c r="DD34" s="3">
        <v>0</v>
      </c>
      <c r="DE34" s="3">
        <v>0</v>
      </c>
      <c r="DF34" s="12">
        <f t="shared" si="28"/>
        <v>0</v>
      </c>
      <c r="DG34" s="12">
        <f t="shared" si="29"/>
        <v>0</v>
      </c>
      <c r="DH34" s="55">
        <f t="shared" si="43"/>
        <v>127.48089999999999</v>
      </c>
      <c r="DI34" s="24">
        <f t="shared" si="30"/>
        <v>0</v>
      </c>
      <c r="DJ34" s="24">
        <f>-(DC7-'0. Current system'!$G7)*SUM(CY34:DE34)/(DI34-'0. Current system'!$L34)</f>
        <v>-47.932955410785333</v>
      </c>
      <c r="DK34" s="1"/>
    </row>
    <row r="35" spans="1:115">
      <c r="A35" s="1"/>
      <c r="B35" s="2" t="s">
        <v>13</v>
      </c>
      <c r="C35" s="3">
        <v>57.913561000000001</v>
      </c>
      <c r="D35" s="3">
        <v>0</v>
      </c>
      <c r="E35" s="19">
        <v>175.902433</v>
      </c>
      <c r="F35" s="19">
        <v>327.45144299999998</v>
      </c>
      <c r="G35" s="19">
        <v>115.097579</v>
      </c>
      <c r="H35" s="19">
        <v>875.428271</v>
      </c>
      <c r="I35" s="19">
        <v>451.376912</v>
      </c>
      <c r="J35" s="12">
        <f t="shared" si="31"/>
        <v>0.43702141307664294</v>
      </c>
      <c r="K35" s="12">
        <f t="shared" si="32"/>
        <v>0.23198765633854149</v>
      </c>
      <c r="L35" s="17">
        <f t="shared" si="33"/>
        <v>2003.1701989999999</v>
      </c>
      <c r="M35" s="24">
        <f t="shared" si="14"/>
        <v>116.09560578000001</v>
      </c>
      <c r="N35" s="24">
        <f>(M35-'0. Current system'!$L35)</f>
        <v>-890.01379169999996</v>
      </c>
      <c r="O35" s="12">
        <f>(M35-'0. Current system'!$L35)/'0. Current system'!$L35</f>
        <v>-0.88460936149609137</v>
      </c>
      <c r="P35" s="24">
        <f>-(G8-'0. Current system'!$G8)*$L35/(N35)</f>
        <v>-184.85959814324477</v>
      </c>
      <c r="Q35" s="24">
        <f>-(G8-'1. Diesel, no storage'!$G8)*$L35/(M35-'1. Diesel, no storage'!$M35)</f>
        <v>-225.14917322633298</v>
      </c>
      <c r="R35" s="29">
        <f t="shared" si="34"/>
        <v>164.52759187560756</v>
      </c>
      <c r="S35" s="1"/>
      <c r="T35" s="2" t="s">
        <v>13</v>
      </c>
      <c r="U35" s="3">
        <v>57.913561000000001</v>
      </c>
      <c r="V35" s="3">
        <v>0</v>
      </c>
      <c r="W35" s="19">
        <v>175.902433</v>
      </c>
      <c r="X35" s="19">
        <v>327.45144299999998</v>
      </c>
      <c r="Y35" s="19">
        <v>115.097579</v>
      </c>
      <c r="Z35" s="19">
        <v>875.577406</v>
      </c>
      <c r="AA35" s="19">
        <v>451.227777</v>
      </c>
      <c r="AB35" s="12">
        <f t="shared" si="15"/>
        <v>0.43709586256679339</v>
      </c>
      <c r="AC35" s="12">
        <f t="shared" si="16"/>
        <v>0.22525683400504706</v>
      </c>
      <c r="AD35" s="17">
        <f t="shared" si="35"/>
        <v>2003.1701990000001</v>
      </c>
      <c r="AE35" s="24">
        <f t="shared" si="17"/>
        <v>116.09560578000001</v>
      </c>
      <c r="AF35" s="24">
        <f>-(AE35-'0. Current system'!$L35)</f>
        <v>890.01379169999996</v>
      </c>
      <c r="AG35" s="12">
        <f>(AE35-'0. Current system'!$L35)/'0. Current system'!$L35</f>
        <v>-0.88460936149609137</v>
      </c>
      <c r="AH35" s="24">
        <f>(Y8-'0. Current system'!$G8)*$L35/(AF35)</f>
        <v>-184.85959814324477</v>
      </c>
      <c r="AI35" s="24">
        <f>-(Y8-'1. Diesel, no storage'!$G8)*$L35/(AE35-'1. Diesel, no storage'!$M35)</f>
        <v>-225.14917322633298</v>
      </c>
      <c r="AJ35" s="29">
        <f t="shared" si="36"/>
        <v>-164.52759187560756</v>
      </c>
      <c r="AK35" s="1"/>
      <c r="AL35" s="2" t="s">
        <v>13</v>
      </c>
      <c r="AM35" s="3">
        <v>57.913561000000001</v>
      </c>
      <c r="AN35" s="3">
        <v>0</v>
      </c>
      <c r="AO35" s="19">
        <v>175.902433</v>
      </c>
      <c r="AP35" s="19">
        <v>327.45144299999998</v>
      </c>
      <c r="AQ35" s="19">
        <v>115.097579</v>
      </c>
      <c r="AR35" s="19">
        <v>875.46884299999999</v>
      </c>
      <c r="AS35" s="19">
        <v>451.33634000000001</v>
      </c>
      <c r="AT35" s="12">
        <f t="shared" si="37"/>
        <v>0.4370416669722032</v>
      </c>
      <c r="AU35" s="12">
        <f t="shared" si="37"/>
        <v>0.23196680172042877</v>
      </c>
      <c r="AV35" s="55">
        <f t="shared" si="38"/>
        <v>2003.1701989999999</v>
      </c>
      <c r="AW35" s="24">
        <f t="shared" si="18"/>
        <v>116.09560578000001</v>
      </c>
      <c r="AX35" s="24">
        <f>-(AQ8-'0. Current system'!$G8)*SUM(AM35:AS35)/(AW35-'0. Current system'!$L35)</f>
        <v>-177.34474956988811</v>
      </c>
      <c r="AY35" s="1"/>
      <c r="AZ35" s="2" t="s">
        <v>13</v>
      </c>
      <c r="BA35" s="3">
        <v>56.893475000000002</v>
      </c>
      <c r="BB35" s="3">
        <v>0</v>
      </c>
      <c r="BC35" s="19">
        <v>171.28144499999999</v>
      </c>
      <c r="BD35" s="19">
        <v>105.33041900000001</v>
      </c>
      <c r="BE35" s="19">
        <v>106.315601</v>
      </c>
      <c r="BF35" s="19">
        <v>1195.8273919999999</v>
      </c>
      <c r="BG35" s="19">
        <v>367.52186799999998</v>
      </c>
      <c r="BH35" s="12">
        <f t="shared" si="19"/>
        <v>0.59696744320426065</v>
      </c>
      <c r="BI35" s="12">
        <f t="shared" si="20"/>
        <v>0.18347011561147933</v>
      </c>
      <c r="BJ35" s="17">
        <f t="shared" si="39"/>
        <v>2003.1702</v>
      </c>
      <c r="BK35" s="24">
        <f t="shared" si="21"/>
        <v>113.04575370000001</v>
      </c>
      <c r="BL35" s="24">
        <f>-(BK35-'0. Current system'!$L35)</f>
        <v>893.06364378000001</v>
      </c>
      <c r="BM35" s="12">
        <f>(BK35-'0. Current system'!$L35)/'0. Current system'!$L35</f>
        <v>-0.88764069396116818</v>
      </c>
      <c r="BN35" s="24">
        <f>(BE8-'0. Current system'!$G8)*BJ35/(BL35)</f>
        <v>-190.04580170967014</v>
      </c>
      <c r="BO35" s="24">
        <f>-(BE8-'1. Diesel, no storage'!$G8)*BJ35/(BK35-'1. Diesel, no storage'!$M35)</f>
        <v>-243.5616915239321</v>
      </c>
      <c r="BP35" s="29">
        <f t="shared" si="40"/>
        <v>-169.72299615992938</v>
      </c>
      <c r="BQ35" s="1"/>
      <c r="BR35" s="2" t="s">
        <v>13</v>
      </c>
      <c r="BS35" s="3">
        <v>66.840906000000004</v>
      </c>
      <c r="BT35" s="3">
        <v>0</v>
      </c>
      <c r="BU35" s="19">
        <v>283.32514200000003</v>
      </c>
      <c r="BV35" s="19">
        <v>375.63854199999997</v>
      </c>
      <c r="BW35" s="19">
        <v>120.955574</v>
      </c>
      <c r="BX35" s="19">
        <v>454.20038199999999</v>
      </c>
      <c r="BY35" s="19">
        <v>702.209653</v>
      </c>
      <c r="BZ35" s="12">
        <f t="shared" si="22"/>
        <v>0.22674078429618255</v>
      </c>
      <c r="CA35" s="12">
        <f t="shared" si="23"/>
        <v>0.35054917118403084</v>
      </c>
      <c r="CB35" s="55">
        <f t="shared" si="41"/>
        <v>2003.1701989999997</v>
      </c>
      <c r="CC35" s="24">
        <f t="shared" si="24"/>
        <v>186.99459372000004</v>
      </c>
      <c r="CD35" s="24">
        <f>-(BW8-'0. Current system'!$G8)*SUM(BS35:BY35)/(CC35-'0. Current system'!$L35)</f>
        <v>-189.93967950167263</v>
      </c>
      <c r="CE35" s="12"/>
      <c r="CF35" s="24"/>
      <c r="CG35" s="24"/>
      <c r="CH35" s="29"/>
      <c r="CI35" s="1"/>
      <c r="CJ35" s="2" t="s">
        <v>13</v>
      </c>
      <c r="CK35" s="3">
        <v>56.893475000000002</v>
      </c>
      <c r="CL35" s="3">
        <v>0</v>
      </c>
      <c r="CM35" s="3">
        <v>171.28144499999999</v>
      </c>
      <c r="CN35" s="3">
        <v>105.33041900000001</v>
      </c>
      <c r="CO35" s="3">
        <v>106.315601</v>
      </c>
      <c r="CP35" s="3">
        <v>1195.79152</v>
      </c>
      <c r="CQ35" s="3">
        <v>367.55774000000002</v>
      </c>
      <c r="CR35" s="12">
        <f t="shared" si="25"/>
        <v>0.59694953558961172</v>
      </c>
      <c r="CS35" s="12">
        <f t="shared" si="26"/>
        <v>0.18348802322612831</v>
      </c>
      <c r="CT35" s="55">
        <f t="shared" si="42"/>
        <v>2003.1702</v>
      </c>
      <c r="CU35" s="24">
        <f t="shared" si="27"/>
        <v>113.04575370000001</v>
      </c>
      <c r="CV35" s="24">
        <f>-(CO8-'0. Current system'!$G8)*SUM(CK35:CQ35)/(CU35-'0. Current system'!$L35)</f>
        <v>-190.04580170967014</v>
      </c>
      <c r="CW35" s="1"/>
      <c r="CX35" s="2" t="s">
        <v>13</v>
      </c>
      <c r="CY35" s="3">
        <v>46.984063999999996</v>
      </c>
      <c r="CZ35" s="3">
        <v>0</v>
      </c>
      <c r="DA35" s="3">
        <v>126.083991</v>
      </c>
      <c r="DB35" s="3">
        <v>102.422466</v>
      </c>
      <c r="DC35" s="3">
        <v>100.668091</v>
      </c>
      <c r="DD35" s="3">
        <v>1272.751518</v>
      </c>
      <c r="DE35" s="3">
        <v>354.26006899999999</v>
      </c>
      <c r="DF35" s="12">
        <f t="shared" si="28"/>
        <v>0.63536863649198094</v>
      </c>
      <c r="DG35" s="12">
        <f t="shared" si="29"/>
        <v>0.17684971011292488</v>
      </c>
      <c r="DH35" s="55">
        <f t="shared" si="43"/>
        <v>2003.1701989999999</v>
      </c>
      <c r="DI35" s="24">
        <f t="shared" si="30"/>
        <v>83.215434060000007</v>
      </c>
      <c r="DJ35" s="24">
        <f>-(DC8-'0. Current system'!$G8)*SUM(CY35:DE35)/(DI35-'0. Current system'!$L35)</f>
        <v>-184.49785305930973</v>
      </c>
      <c r="DK35" s="1"/>
    </row>
    <row r="36" spans="1:115">
      <c r="A36" s="1"/>
      <c r="B36" s="2" t="s">
        <v>14</v>
      </c>
      <c r="C36" s="3" t="s">
        <v>10</v>
      </c>
      <c r="D36" s="3" t="s">
        <v>10</v>
      </c>
      <c r="E36" s="19">
        <v>53.166173999999998</v>
      </c>
      <c r="F36" s="19">
        <v>21.048473999999999</v>
      </c>
      <c r="G36" s="19">
        <v>0</v>
      </c>
      <c r="H36" s="19">
        <v>44.032938999999999</v>
      </c>
      <c r="I36" s="19">
        <v>145.77111400000001</v>
      </c>
      <c r="J36" s="12">
        <f t="shared" si="31"/>
        <v>0.1667796214178025</v>
      </c>
      <c r="K36" s="12">
        <f t="shared" si="32"/>
        <v>0.5517756451153818</v>
      </c>
      <c r="L36" s="17">
        <f t="shared" si="33"/>
        <v>264.01870100000002</v>
      </c>
      <c r="M36" s="24">
        <f t="shared" si="14"/>
        <v>35.089674840000001</v>
      </c>
      <c r="N36" s="24">
        <f>(M36-'0. Current system'!$L36)</f>
        <v>-134.62029636</v>
      </c>
      <c r="O36" s="12">
        <f>(M36-'0. Current system'!$L36)/'0. Current system'!$L36</f>
        <v>-0.79323740030190981</v>
      </c>
      <c r="P36" s="24">
        <f>-(G9-'0. Current system'!$G9)*$L36/(N36)</f>
        <v>-215.0893196491655</v>
      </c>
      <c r="Q36" s="24">
        <f>-(G9-'1. Diesel, no storage'!$G9)*$L36/(M36-'1. Diesel, no storage'!$M36)</f>
        <v>1376.8082384183751</v>
      </c>
      <c r="R36" s="29">
        <f t="shared" si="34"/>
        <v>28.955387955041431</v>
      </c>
      <c r="S36" s="1"/>
      <c r="T36" s="2" t="s">
        <v>14</v>
      </c>
      <c r="U36" s="3" t="s">
        <v>10</v>
      </c>
      <c r="V36" s="3" t="s">
        <v>10</v>
      </c>
      <c r="W36" s="19">
        <v>53.166173999999998</v>
      </c>
      <c r="X36" s="19">
        <v>21.048473999999999</v>
      </c>
      <c r="Y36" s="19">
        <v>0</v>
      </c>
      <c r="Z36" s="19">
        <v>44.028091000000003</v>
      </c>
      <c r="AA36" s="19">
        <v>145.775961</v>
      </c>
      <c r="AB36" s="12">
        <f t="shared" si="15"/>
        <v>0.1667612597138006</v>
      </c>
      <c r="AC36" s="12">
        <f t="shared" si="16"/>
        <v>0.55214256035652021</v>
      </c>
      <c r="AD36" s="17">
        <f t="shared" si="35"/>
        <v>264.01869999999997</v>
      </c>
      <c r="AE36" s="24">
        <f t="shared" si="17"/>
        <v>35.089674840000001</v>
      </c>
      <c r="AF36" s="24">
        <f>-(AE36-'0. Current system'!$L36)</f>
        <v>134.62029636</v>
      </c>
      <c r="AG36" s="12">
        <f>(AE36-'0. Current system'!$L36)/'0. Current system'!$L36</f>
        <v>-0.79323740030190981</v>
      </c>
      <c r="AH36" s="24">
        <f>(Y9-'0. Current system'!$G9)*$L36/(AF36)</f>
        <v>-215.0893196491655</v>
      </c>
      <c r="AI36" s="24">
        <f>-(Y9-'1. Diesel, no storage'!$G9)*$L36/(AE36-'1. Diesel, no storage'!$M36)</f>
        <v>1376.8082384183751</v>
      </c>
      <c r="AJ36" s="29">
        <f t="shared" si="36"/>
        <v>-28.955387955041431</v>
      </c>
      <c r="AK36" s="1"/>
      <c r="AL36" s="2" t="s">
        <v>14</v>
      </c>
      <c r="AM36" s="3" t="s">
        <v>10</v>
      </c>
      <c r="AN36" s="3" t="s">
        <v>10</v>
      </c>
      <c r="AO36" s="19">
        <v>44.995381999999999</v>
      </c>
      <c r="AP36" s="19">
        <v>43.747247000000002</v>
      </c>
      <c r="AQ36" s="19">
        <v>0</v>
      </c>
      <c r="AR36" s="19">
        <v>40.320608</v>
      </c>
      <c r="AS36" s="19">
        <v>134.95546400000001</v>
      </c>
      <c r="AT36" s="12">
        <f t="shared" si="37"/>
        <v>0.15271875760043227</v>
      </c>
      <c r="AU36" s="12">
        <f t="shared" si="37"/>
        <v>0.51086322708123777</v>
      </c>
      <c r="AV36" s="55">
        <f t="shared" si="38"/>
        <v>264.01870099999996</v>
      </c>
      <c r="AW36" s="24">
        <f t="shared" si="18"/>
        <v>29.696952120000002</v>
      </c>
      <c r="AX36" s="24">
        <f>-(AQ9-'0. Current system'!$G9)*SUM(AM36:AS36)/(AW36-'0. Current system'!$L36)</f>
        <v>-200.3033466175531</v>
      </c>
      <c r="AY36" s="1"/>
      <c r="AZ36" s="2" t="s">
        <v>14</v>
      </c>
      <c r="BA36" s="3" t="s">
        <v>10</v>
      </c>
      <c r="BB36" s="3" t="s">
        <v>10</v>
      </c>
      <c r="BC36" s="19">
        <v>60.081522</v>
      </c>
      <c r="BD36" s="19">
        <v>0</v>
      </c>
      <c r="BE36" s="19">
        <v>0</v>
      </c>
      <c r="BF36" s="19">
        <v>51.817942000000002</v>
      </c>
      <c r="BG36" s="19">
        <v>152.119237</v>
      </c>
      <c r="BH36" s="12">
        <f t="shared" si="19"/>
        <v>0.19626618114550223</v>
      </c>
      <c r="BI36" s="12">
        <f t="shared" si="20"/>
        <v>0.57616841913091765</v>
      </c>
      <c r="BJ36" s="17">
        <f t="shared" si="39"/>
        <v>264.01870099999996</v>
      </c>
      <c r="BK36" s="24">
        <f t="shared" si="21"/>
        <v>39.653804520000001</v>
      </c>
      <c r="BL36" s="24">
        <f>-(BK36-'0. Current system'!$L36)</f>
        <v>130.05616668000002</v>
      </c>
      <c r="BM36" s="12">
        <f>(BK36-'0. Current system'!$L36)/'0. Current system'!$L36</f>
        <v>-0.76634369660419821</v>
      </c>
      <c r="BN36" s="24">
        <f>(BE9-'0. Current system'!$G9)*BJ36/(BL36)</f>
        <v>-223.40201938153186</v>
      </c>
      <c r="BO36" s="24">
        <f>-(BE9-'1. Diesel, no storage'!$G9)*BJ36/(BK36-'1. Diesel, no storage'!$M36)</f>
        <v>744.22623401191322</v>
      </c>
      <c r="BP36" s="29">
        <f t="shared" si="40"/>
        <v>-29.054810269333103</v>
      </c>
      <c r="BQ36" s="1"/>
      <c r="BR36" s="2" t="s">
        <v>14</v>
      </c>
      <c r="BS36" s="3" t="s">
        <v>10</v>
      </c>
      <c r="BT36" s="3" t="s">
        <v>10</v>
      </c>
      <c r="BU36" s="19">
        <v>38.778080000000003</v>
      </c>
      <c r="BV36" s="19">
        <v>80.610107999999997</v>
      </c>
      <c r="BW36" s="19">
        <v>0</v>
      </c>
      <c r="BX36" s="19">
        <v>33.780740000000002</v>
      </c>
      <c r="BY36" s="19">
        <v>110.849772</v>
      </c>
      <c r="BZ36" s="12">
        <f t="shared" si="22"/>
        <v>0.12794828548129358</v>
      </c>
      <c r="CA36" s="12">
        <f t="shared" si="23"/>
        <v>0.41985576021698467</v>
      </c>
      <c r="CB36" s="55">
        <f t="shared" si="41"/>
        <v>264.01869999999997</v>
      </c>
      <c r="CC36" s="24">
        <f t="shared" si="24"/>
        <v>25.593532800000002</v>
      </c>
      <c r="CD36" s="24">
        <f>-(BW9-'0. Current system'!$G9)*SUM(BS36:BY36)/(CC36-'0. Current system'!$L36)</f>
        <v>-194.12545335534389</v>
      </c>
      <c r="CE36" s="12"/>
      <c r="CF36" s="24"/>
      <c r="CG36" s="24"/>
      <c r="CH36" s="29"/>
      <c r="CI36" s="1"/>
      <c r="CJ36" s="2" t="s">
        <v>14</v>
      </c>
      <c r="CK36" s="3" t="s">
        <v>10</v>
      </c>
      <c r="CL36" s="3" t="s">
        <v>10</v>
      </c>
      <c r="CM36" s="3">
        <v>60.081522</v>
      </c>
      <c r="CN36" s="3">
        <v>0</v>
      </c>
      <c r="CO36" s="3">
        <v>0</v>
      </c>
      <c r="CP36" s="3">
        <v>51.834828000000002</v>
      </c>
      <c r="CQ36" s="3">
        <v>152.102351</v>
      </c>
      <c r="CR36" s="12">
        <f t="shared" si="25"/>
        <v>0.196330138736385</v>
      </c>
      <c r="CS36" s="12">
        <f t="shared" si="26"/>
        <v>0.57610446154003492</v>
      </c>
      <c r="CT36" s="55">
        <f t="shared" si="42"/>
        <v>264.01870099999996</v>
      </c>
      <c r="CU36" s="24">
        <f t="shared" si="27"/>
        <v>39.653804520000001</v>
      </c>
      <c r="CV36" s="24">
        <f>-(CO9-'0. Current system'!$G9)*SUM(CK36:CQ36)/(CU36-'0. Current system'!$L36)</f>
        <v>-223.40201938153186</v>
      </c>
      <c r="CW36" s="1"/>
      <c r="CX36" s="2" t="s">
        <v>14</v>
      </c>
      <c r="CY36" s="3" t="s">
        <v>10</v>
      </c>
      <c r="CZ36" s="3" t="s">
        <v>10</v>
      </c>
      <c r="DA36" s="3">
        <v>59.772716000000003</v>
      </c>
      <c r="DB36" s="3">
        <v>0</v>
      </c>
      <c r="DC36" s="3">
        <v>0</v>
      </c>
      <c r="DD36" s="3">
        <v>53.568156000000002</v>
      </c>
      <c r="DE36" s="3">
        <v>150.67782800000001</v>
      </c>
      <c r="DF36" s="12">
        <f t="shared" si="28"/>
        <v>0.20289531006705211</v>
      </c>
      <c r="DG36" s="12">
        <f t="shared" si="29"/>
        <v>0.57070892326945033</v>
      </c>
      <c r="DH36" s="55">
        <f t="shared" si="43"/>
        <v>264.01870000000002</v>
      </c>
      <c r="DI36" s="24">
        <f t="shared" si="30"/>
        <v>39.449992560000005</v>
      </c>
      <c r="DJ36" s="24">
        <f>-(DC9-'0. Current system'!$G9)*SUM(CY36:DE36)/(DI36-'0. Current system'!$L36)</f>
        <v>-223.24770054551189</v>
      </c>
      <c r="DK36" s="1"/>
    </row>
    <row r="37" spans="1:115">
      <c r="A37" s="1"/>
      <c r="B37" s="2" t="s">
        <v>15</v>
      </c>
      <c r="C37" s="3" t="s">
        <v>10</v>
      </c>
      <c r="D37" s="3" t="s">
        <v>10</v>
      </c>
      <c r="E37" s="19">
        <v>67.925867999999994</v>
      </c>
      <c r="F37" s="19">
        <v>87.067939999999993</v>
      </c>
      <c r="G37" s="19" t="s">
        <v>10</v>
      </c>
      <c r="H37" s="19">
        <v>186.890725</v>
      </c>
      <c r="I37" s="19">
        <v>131.554867</v>
      </c>
      <c r="J37" s="12">
        <f t="shared" si="31"/>
        <v>0.39475110225300214</v>
      </c>
      <c r="K37" s="12">
        <f t="shared" si="32"/>
        <v>0.27763905723969351</v>
      </c>
      <c r="L37" s="17">
        <f t="shared" si="33"/>
        <v>473.43940000000003</v>
      </c>
      <c r="M37" s="24">
        <f t="shared" si="14"/>
        <v>44.831072880000001</v>
      </c>
      <c r="N37" s="24">
        <f>(M37-'0. Current system'!$L37)</f>
        <v>-258.28914407999997</v>
      </c>
      <c r="O37" s="12">
        <f>(M37-'0. Current system'!$L37)/'0. Current system'!$L37</f>
        <v>-0.85210134338906218</v>
      </c>
      <c r="P37" s="24">
        <f>-(G10-'0. Current system'!$G10)*$L37/(N37)</f>
        <v>-194.68677156972677</v>
      </c>
      <c r="Q37" s="24">
        <f>-(G10-'1. Diesel, no storage'!$G10)*$L37/(M37-'1. Diesel, no storage'!$M37)</f>
        <v>-822.20356933891537</v>
      </c>
      <c r="R37" s="29">
        <f t="shared" si="34"/>
        <v>50.285479592443203</v>
      </c>
      <c r="S37" s="1"/>
      <c r="T37" s="2" t="s">
        <v>15</v>
      </c>
      <c r="U37" s="3" t="s">
        <v>10</v>
      </c>
      <c r="V37" s="3" t="s">
        <v>10</v>
      </c>
      <c r="W37" s="19">
        <v>67.925867999999994</v>
      </c>
      <c r="X37" s="19">
        <v>87.067939999999993</v>
      </c>
      <c r="Y37" s="19" t="s">
        <v>10</v>
      </c>
      <c r="Z37" s="19">
        <v>186.88007500000001</v>
      </c>
      <c r="AA37" s="19">
        <v>131.565517</v>
      </c>
      <c r="AB37" s="12">
        <f t="shared" si="15"/>
        <v>0.39472860729377407</v>
      </c>
      <c r="AC37" s="12">
        <f t="shared" si="16"/>
        <v>0.27789304607939264</v>
      </c>
      <c r="AD37" s="17">
        <f t="shared" si="35"/>
        <v>473.43939999999998</v>
      </c>
      <c r="AE37" s="24">
        <f t="shared" si="17"/>
        <v>44.831072880000001</v>
      </c>
      <c r="AF37" s="24">
        <f>-(AE37-'0. Current system'!$L37)</f>
        <v>258.28914407999997</v>
      </c>
      <c r="AG37" s="12">
        <f>(AE37-'0. Current system'!$L37)/'0. Current system'!$L37</f>
        <v>-0.85210134338906218</v>
      </c>
      <c r="AH37" s="24">
        <f>(Y10-'0. Current system'!$G10)*$L37/(AF37)</f>
        <v>-194.68677156972677</v>
      </c>
      <c r="AI37" s="24">
        <f>-(Y10-'1. Diesel, no storage'!$G10)*$L37/(AE37-'1. Diesel, no storage'!$M37)</f>
        <v>-822.20356933891537</v>
      </c>
      <c r="AJ37" s="29">
        <f t="shared" si="36"/>
        <v>-50.285479592443203</v>
      </c>
      <c r="AK37" s="1"/>
      <c r="AL37" s="2" t="s">
        <v>15</v>
      </c>
      <c r="AM37" s="3" t="s">
        <v>10</v>
      </c>
      <c r="AN37" s="3" t="s">
        <v>10</v>
      </c>
      <c r="AO37" s="19">
        <v>67.348399000000001</v>
      </c>
      <c r="AP37" s="19">
        <v>95.770055999999997</v>
      </c>
      <c r="AQ37" s="19" t="s">
        <v>10</v>
      </c>
      <c r="AR37" s="19">
        <v>176.27774099999999</v>
      </c>
      <c r="AS37" s="19">
        <v>134.043204</v>
      </c>
      <c r="AT37" s="12">
        <f t="shared" si="37"/>
        <v>0.37233432832163949</v>
      </c>
      <c r="AU37" s="12">
        <f t="shared" si="37"/>
        <v>0.28290393480866499</v>
      </c>
      <c r="AV37" s="55">
        <f t="shared" si="38"/>
        <v>473.43939999999998</v>
      </c>
      <c r="AW37" s="24">
        <f t="shared" si="18"/>
        <v>44.449943340000004</v>
      </c>
      <c r="AX37" s="24">
        <f>-(AQ10-'0. Current system'!$G10)*SUM(AM37:AS37)/(AW37-'0. Current system'!$L37)</f>
        <v>-188.34632836772192</v>
      </c>
      <c r="AY37" s="1"/>
      <c r="AZ37" s="2" t="s">
        <v>15</v>
      </c>
      <c r="BA37" s="3" t="s">
        <v>10</v>
      </c>
      <c r="BB37" s="3" t="s">
        <v>10</v>
      </c>
      <c r="BC37" s="19">
        <v>78.653887999999995</v>
      </c>
      <c r="BD37" s="19">
        <v>15.158052</v>
      </c>
      <c r="BE37" s="19" t="s">
        <v>10</v>
      </c>
      <c r="BF37" s="19">
        <v>249.373165</v>
      </c>
      <c r="BG37" s="19">
        <v>130.25429600000001</v>
      </c>
      <c r="BH37" s="12">
        <f t="shared" si="19"/>
        <v>0.52672668349951446</v>
      </c>
      <c r="BI37" s="12">
        <f t="shared" si="20"/>
        <v>0.275123481484642</v>
      </c>
      <c r="BJ37" s="17">
        <f t="shared" si="39"/>
        <v>473.43940100000003</v>
      </c>
      <c r="BK37" s="24">
        <f t="shared" si="21"/>
        <v>51.91156608</v>
      </c>
      <c r="BL37" s="24">
        <f>-(BK37-'0. Current system'!$L37)</f>
        <v>251.20865087999999</v>
      </c>
      <c r="BM37" s="12">
        <f>(BK37-'0. Current system'!$L37)/'0. Current system'!$L37</f>
        <v>-0.82874264672735343</v>
      </c>
      <c r="BN37" s="24">
        <f>(BE10-'0. Current system'!$G10)*BJ37/(BL37)</f>
        <v>-203.5113894048165</v>
      </c>
      <c r="BO37" s="24">
        <f>-(BE10-'1. Diesel, no storage'!$G10)*BJ37/(BK37-'1. Diesel, no storage'!$M37)</f>
        <v>-1871.7192956462179</v>
      </c>
      <c r="BP37" s="29">
        <f t="shared" si="40"/>
        <v>-51.123821571098276</v>
      </c>
      <c r="BQ37" s="1"/>
      <c r="BR37" s="2" t="s">
        <v>15</v>
      </c>
      <c r="BS37" s="3" t="s">
        <v>10</v>
      </c>
      <c r="BT37" s="3" t="s">
        <v>10</v>
      </c>
      <c r="BU37" s="19">
        <v>63.854097000000003</v>
      </c>
      <c r="BV37" s="19">
        <v>159.34046000000001</v>
      </c>
      <c r="BW37" s="19" t="s">
        <v>10</v>
      </c>
      <c r="BX37" s="19">
        <v>82.521304000000001</v>
      </c>
      <c r="BY37" s="19">
        <v>167.72353899999999</v>
      </c>
      <c r="BZ37" s="12">
        <f t="shared" si="22"/>
        <v>0.17430172478251704</v>
      </c>
      <c r="CA37" s="12">
        <f t="shared" si="23"/>
        <v>0.35426611938085423</v>
      </c>
      <c r="CB37" s="55">
        <f t="shared" si="41"/>
        <v>473.43939999999998</v>
      </c>
      <c r="CC37" s="24">
        <f t="shared" si="24"/>
        <v>42.143704020000001</v>
      </c>
      <c r="CD37" s="24">
        <f>-(BW10-'0. Current system'!$G10)*SUM(BS37:BY37)/(CC37-'0. Current system'!$L37)</f>
        <v>-188.9136956640823</v>
      </c>
      <c r="CE37" s="12"/>
      <c r="CF37" s="24"/>
      <c r="CG37" s="24"/>
      <c r="CH37" s="29"/>
      <c r="CI37" s="1"/>
      <c r="CJ37" s="2" t="s">
        <v>15</v>
      </c>
      <c r="CK37" s="3" t="s">
        <v>10</v>
      </c>
      <c r="CL37" s="3" t="s">
        <v>10</v>
      </c>
      <c r="CM37" s="3">
        <v>78.653887999999995</v>
      </c>
      <c r="CN37" s="3">
        <v>15.158052</v>
      </c>
      <c r="CO37" s="3" t="s">
        <v>10</v>
      </c>
      <c r="CP37" s="3">
        <v>249.37399300000001</v>
      </c>
      <c r="CQ37" s="3">
        <v>130.253467</v>
      </c>
      <c r="CR37" s="12">
        <f t="shared" si="25"/>
        <v>0.52672843240338685</v>
      </c>
      <c r="CS37" s="12">
        <f t="shared" si="26"/>
        <v>0.27512173046856686</v>
      </c>
      <c r="CT37" s="55">
        <f t="shared" si="42"/>
        <v>473.43939999999998</v>
      </c>
      <c r="CU37" s="24">
        <f t="shared" si="27"/>
        <v>51.91156608</v>
      </c>
      <c r="CV37" s="24">
        <f>-(CO10-'0. Current system'!$G10)*SUM(CK37:CQ37)/(CU37-'0. Current system'!$L37)</f>
        <v>-203.51138897495915</v>
      </c>
      <c r="CW37" s="1"/>
      <c r="CX37" s="2" t="s">
        <v>15</v>
      </c>
      <c r="CY37" s="3" t="s">
        <v>10</v>
      </c>
      <c r="CZ37" s="3" t="s">
        <v>10</v>
      </c>
      <c r="DA37" s="3">
        <v>69.338666000000003</v>
      </c>
      <c r="DB37" s="3">
        <v>0</v>
      </c>
      <c r="DC37" s="3" t="s">
        <v>10</v>
      </c>
      <c r="DD37" s="3">
        <v>289.86960800000003</v>
      </c>
      <c r="DE37" s="3">
        <v>114.231126</v>
      </c>
      <c r="DF37" s="12">
        <f t="shared" si="28"/>
        <v>0.612263381543657</v>
      </c>
      <c r="DG37" s="12">
        <f t="shared" si="29"/>
        <v>0.24127929783621729</v>
      </c>
      <c r="DH37" s="55">
        <f t="shared" si="43"/>
        <v>473.43940000000003</v>
      </c>
      <c r="DI37" s="24">
        <f t="shared" si="30"/>
        <v>45.763519560000006</v>
      </c>
      <c r="DJ37" s="24">
        <f>-(DC10-'0. Current system'!$G10)*SUM(CY37:DE37)/(DI37-'0. Current system'!$L37)</f>
        <v>-199.53791142289197</v>
      </c>
      <c r="DK37" s="1"/>
    </row>
    <row r="38" spans="1:115">
      <c r="A38" s="1"/>
      <c r="B38" s="2" t="s">
        <v>16</v>
      </c>
      <c r="C38" s="3" t="s">
        <v>10</v>
      </c>
      <c r="D38" s="3" t="s">
        <v>10</v>
      </c>
      <c r="E38" s="19">
        <v>0.37562699999999999</v>
      </c>
      <c r="F38" s="19">
        <v>10.822323000000001</v>
      </c>
      <c r="G38" s="19" t="s">
        <v>10</v>
      </c>
      <c r="H38" s="19">
        <v>3.0580620000000001</v>
      </c>
      <c r="I38" s="19">
        <v>2.134509</v>
      </c>
      <c r="J38" s="12">
        <f t="shared" si="31"/>
        <v>0.1865750332158447</v>
      </c>
      <c r="K38" s="12">
        <f t="shared" si="32"/>
        <v>0.12876254053925026</v>
      </c>
      <c r="L38" s="17">
        <f t="shared" si="33"/>
        <v>16.390521</v>
      </c>
      <c r="M38" s="24">
        <f t="shared" si="14"/>
        <v>0.24791382000000001</v>
      </c>
      <c r="N38" s="24">
        <f>(M38-'0. Current system'!$L38)</f>
        <v>-9.3963223199999995</v>
      </c>
      <c r="O38" s="12">
        <f>(M38-'0. Current system'!$L38)/'0. Current system'!$L38</f>
        <v>-0.9742940947939086</v>
      </c>
      <c r="P38" s="24">
        <f>-(G11-'0. Current system'!$G11)*$L38/(N38)</f>
        <v>-148.75198631420895</v>
      </c>
      <c r="Q38" s="24">
        <f>-(G11-'1. Diesel, no storage'!$G11)*$L38/(M38-'1. Diesel, no storage'!$M38)</f>
        <v>-293.17673102582631</v>
      </c>
      <c r="R38" s="29">
        <f t="shared" si="34"/>
        <v>1.3977216091485358</v>
      </c>
      <c r="S38" s="1"/>
      <c r="T38" s="2" t="s">
        <v>16</v>
      </c>
      <c r="U38" s="3" t="s">
        <v>10</v>
      </c>
      <c r="V38" s="3" t="s">
        <v>10</v>
      </c>
      <c r="W38" s="19">
        <v>0.37562699999999999</v>
      </c>
      <c r="X38" s="19">
        <v>10.822323000000001</v>
      </c>
      <c r="Y38" s="19" t="s">
        <v>10</v>
      </c>
      <c r="Z38" s="19">
        <v>3.0581109999999998</v>
      </c>
      <c r="AA38" s="19">
        <v>2.1344599999999998</v>
      </c>
      <c r="AB38" s="12">
        <f t="shared" si="15"/>
        <v>0.18657802274863622</v>
      </c>
      <c r="AC38" s="12">
        <f t="shared" si="16"/>
        <v>0.13022526861714767</v>
      </c>
      <c r="AD38" s="17">
        <f t="shared" si="35"/>
        <v>16.390521</v>
      </c>
      <c r="AE38" s="24">
        <f t="shared" si="17"/>
        <v>0.24791382000000001</v>
      </c>
      <c r="AF38" s="24">
        <f>-(AE38-'0. Current system'!$L38)</f>
        <v>9.3963223199999995</v>
      </c>
      <c r="AG38" s="12">
        <f>(AE38-'0. Current system'!$L38)/'0. Current system'!$L38</f>
        <v>-0.9742940947939086</v>
      </c>
      <c r="AH38" s="24">
        <f>(Y11-'0. Current system'!$G11)*$L38/(AF38)</f>
        <v>-148.75198631420895</v>
      </c>
      <c r="AI38" s="24">
        <f>-(Y11-'1. Diesel, no storage'!$G11)*$L38/(AE38-'1. Diesel, no storage'!$M38)</f>
        <v>-293.17673102582631</v>
      </c>
      <c r="AJ38" s="29">
        <f t="shared" si="36"/>
        <v>-1.3977216091485358</v>
      </c>
      <c r="AK38" s="1"/>
      <c r="AL38" s="2" t="s">
        <v>16</v>
      </c>
      <c r="AM38" s="3" t="s">
        <v>10</v>
      </c>
      <c r="AN38" s="3" t="s">
        <v>10</v>
      </c>
      <c r="AO38" s="19">
        <v>0.47624300000000003</v>
      </c>
      <c r="AP38" s="19">
        <v>10.907494</v>
      </c>
      <c r="AQ38" s="19" t="s">
        <v>10</v>
      </c>
      <c r="AR38" s="19">
        <v>2.5703100000000001</v>
      </c>
      <c r="AS38" s="19">
        <v>2.4364729999999999</v>
      </c>
      <c r="AT38" s="12">
        <f t="shared" si="37"/>
        <v>0.15681686731110425</v>
      </c>
      <c r="AU38" s="12">
        <f t="shared" si="37"/>
        <v>0.14724260583666476</v>
      </c>
      <c r="AV38" s="55">
        <f t="shared" si="38"/>
        <v>16.390519999999999</v>
      </c>
      <c r="AW38" s="24">
        <f t="shared" si="18"/>
        <v>0.31432038000000001</v>
      </c>
      <c r="AX38" s="24">
        <f>-(AQ11-'0. Current system'!$G11)*SUM(AM38:AS38)/(AW38-'0. Current system'!$L38)</f>
        <v>-147.58245121345874</v>
      </c>
      <c r="AY38" s="1"/>
      <c r="AZ38" s="2" t="s">
        <v>16</v>
      </c>
      <c r="BA38" s="3" t="s">
        <v>10</v>
      </c>
      <c r="BB38" s="3" t="s">
        <v>10</v>
      </c>
      <c r="BC38" s="19">
        <v>0.37041400000000002</v>
      </c>
      <c r="BD38" s="19">
        <v>10.816392</v>
      </c>
      <c r="BE38" s="19" t="s">
        <v>10</v>
      </c>
      <c r="BF38" s="19">
        <v>3.0878290000000002</v>
      </c>
      <c r="BG38" s="19">
        <v>2.115885</v>
      </c>
      <c r="BH38" s="12">
        <f t="shared" si="19"/>
        <v>0.1883911438812714</v>
      </c>
      <c r="BI38" s="12">
        <f t="shared" si="20"/>
        <v>0.1290919916456591</v>
      </c>
      <c r="BJ38" s="17">
        <f t="shared" si="39"/>
        <v>16.390519999999999</v>
      </c>
      <c r="BK38" s="24">
        <f t="shared" si="21"/>
        <v>0.24447324000000004</v>
      </c>
      <c r="BL38" s="24">
        <f>-(BK38-'0. Current system'!$L38)</f>
        <v>9.3997629000000007</v>
      </c>
      <c r="BM38" s="12">
        <f>(BK38-'0. Current system'!$L38)/'0. Current system'!$L38</f>
        <v>-0.97465084466502916</v>
      </c>
      <c r="BN38" s="24">
        <f>(BE11-'0. Current system'!$G11)*BJ38/(BL38)</f>
        <v>-148.8467326241431</v>
      </c>
      <c r="BO38" s="24">
        <f>-(BE11-'1. Diesel, no storage'!$G11)*BJ38/(BK38-'1. Diesel, no storage'!$M38)</f>
        <v>-293.47828624920243</v>
      </c>
      <c r="BP38" s="29">
        <f t="shared" si="40"/>
        <v>-1.3991239951066401</v>
      </c>
      <c r="BQ38" s="1"/>
      <c r="BR38" s="2" t="s">
        <v>16</v>
      </c>
      <c r="BS38" s="3" t="s">
        <v>10</v>
      </c>
      <c r="BT38" s="3" t="s">
        <v>10</v>
      </c>
      <c r="BU38" s="19">
        <v>0.37562699999999999</v>
      </c>
      <c r="BV38" s="19">
        <v>10.822323000000001</v>
      </c>
      <c r="BW38" s="19" t="s">
        <v>10</v>
      </c>
      <c r="BX38" s="19">
        <v>3.0579610000000002</v>
      </c>
      <c r="BY38" s="19">
        <v>2.1346099999999999</v>
      </c>
      <c r="BZ38" s="12">
        <f t="shared" si="22"/>
        <v>0.18656887111764173</v>
      </c>
      <c r="CA38" s="12">
        <f t="shared" si="23"/>
        <v>0.13023442024814219</v>
      </c>
      <c r="CB38" s="55">
        <f t="shared" si="41"/>
        <v>16.390521</v>
      </c>
      <c r="CC38" s="24">
        <f t="shared" si="24"/>
        <v>0.24791382000000001</v>
      </c>
      <c r="CD38" s="24">
        <f>-(BW11-'0. Current system'!$G11)*SUM(BS38:BY38)/(CC38-'0. Current system'!$L38)</f>
        <v>-148.66096936357525</v>
      </c>
      <c r="CE38" s="12"/>
      <c r="CF38" s="24"/>
      <c r="CG38" s="24"/>
      <c r="CH38" s="29"/>
      <c r="CI38" s="1"/>
      <c r="CJ38" s="2" t="s">
        <v>16</v>
      </c>
      <c r="CK38" s="3" t="s">
        <v>10</v>
      </c>
      <c r="CL38" s="3" t="s">
        <v>10</v>
      </c>
      <c r="CM38" s="3">
        <v>0.37041400000000002</v>
      </c>
      <c r="CN38" s="3">
        <v>10.816392</v>
      </c>
      <c r="CO38" s="3" t="s">
        <v>10</v>
      </c>
      <c r="CP38" s="3">
        <v>3.0879919999999998</v>
      </c>
      <c r="CQ38" s="3">
        <v>2.1157219999999999</v>
      </c>
      <c r="CR38" s="12">
        <f t="shared" si="25"/>
        <v>0.18840108865361876</v>
      </c>
      <c r="CS38" s="12">
        <f t="shared" si="26"/>
        <v>0.12908204687331171</v>
      </c>
      <c r="CT38" s="55">
        <f t="shared" si="42"/>
        <v>16.390520000000002</v>
      </c>
      <c r="CU38" s="24">
        <f t="shared" si="27"/>
        <v>0.24447324000000004</v>
      </c>
      <c r="CV38" s="24">
        <f>-(CO11-'0. Current system'!$G11)*SUM(CK38:CQ38)/(CU38-'0. Current system'!$L38)</f>
        <v>-148.84673262414313</v>
      </c>
      <c r="CW38" s="1"/>
      <c r="CX38" s="2" t="s">
        <v>16</v>
      </c>
      <c r="CY38" s="3" t="s">
        <v>10</v>
      </c>
      <c r="CZ38" s="3" t="s">
        <v>10</v>
      </c>
      <c r="DA38" s="3">
        <v>0.37359500000000001</v>
      </c>
      <c r="DB38" s="3">
        <v>10.830412000000001</v>
      </c>
      <c r="DC38" s="3" t="s">
        <v>10</v>
      </c>
      <c r="DD38" s="3">
        <v>2.9314070000000001</v>
      </c>
      <c r="DE38" s="3">
        <v>2.2551049999999999</v>
      </c>
      <c r="DF38" s="12">
        <f t="shared" si="28"/>
        <v>0.17884770105843495</v>
      </c>
      <c r="DG38" s="12">
        <f t="shared" si="29"/>
        <v>0.1375859254260435</v>
      </c>
      <c r="DH38" s="55">
        <f t="shared" si="43"/>
        <v>16.390519000000001</v>
      </c>
      <c r="DI38" s="24">
        <f t="shared" si="30"/>
        <v>0.24657270000000001</v>
      </c>
      <c r="DJ38" s="24">
        <f>-(DC11-'0. Current system'!$G11)*SUM(CY38:DE38)/(DI38-'0. Current system'!$L38)</f>
        <v>-148.75730108184797</v>
      </c>
      <c r="DK38" s="1"/>
    </row>
    <row r="39" spans="1:115">
      <c r="A39" s="1"/>
      <c r="B39" s="2" t="s">
        <v>17</v>
      </c>
      <c r="C39" s="3">
        <v>272.04226299999999</v>
      </c>
      <c r="D39" s="3" t="s">
        <v>10</v>
      </c>
      <c r="E39" s="19">
        <v>141.094942</v>
      </c>
      <c r="F39" s="19">
        <v>86.505459999999999</v>
      </c>
      <c r="G39" s="19" t="s">
        <v>10</v>
      </c>
      <c r="H39" s="19">
        <v>664.91518699999995</v>
      </c>
      <c r="I39" s="19">
        <v>656.51544799999999</v>
      </c>
      <c r="J39" s="12">
        <f t="shared" si="31"/>
        <v>0.36512269275487153</v>
      </c>
      <c r="K39" s="12">
        <f t="shared" si="32"/>
        <v>0.42372342534409468</v>
      </c>
      <c r="L39" s="17">
        <f t="shared" si="33"/>
        <v>1821.0733</v>
      </c>
      <c r="M39" s="24">
        <f t="shared" si="14"/>
        <v>93.122661720000011</v>
      </c>
      <c r="N39" s="24">
        <f>(M39-'0. Current system'!$L39)</f>
        <v>-736.82054489999996</v>
      </c>
      <c r="O39" s="12">
        <f>(M39-'0. Current system'!$L39)/'0. Current system'!$L39</f>
        <v>-0.88779634440379562</v>
      </c>
      <c r="P39" s="24">
        <f>-(G12-'0. Current system'!$G12)*$L39/(N39)</f>
        <v>-229.5384011240339</v>
      </c>
      <c r="Q39" s="24">
        <f>-(G12-'1. Diesel, no storage'!$G12)*$L39/(M39-'1. Diesel, no storage'!$M39)</f>
        <v>-425.67835750418311</v>
      </c>
      <c r="R39" s="29">
        <f t="shared" si="34"/>
        <v>169.12860979168542</v>
      </c>
      <c r="S39" s="1"/>
      <c r="T39" s="2" t="s">
        <v>17</v>
      </c>
      <c r="U39" s="3">
        <v>272.04226299999999</v>
      </c>
      <c r="V39" s="3" t="s">
        <v>10</v>
      </c>
      <c r="W39" s="19">
        <v>141.094942</v>
      </c>
      <c r="X39" s="19">
        <v>86.505459999999999</v>
      </c>
      <c r="Y39" s="19" t="s">
        <v>10</v>
      </c>
      <c r="Z39" s="19">
        <v>664.90277400000002</v>
      </c>
      <c r="AA39" s="19">
        <v>656.52786100000003</v>
      </c>
      <c r="AB39" s="12">
        <f t="shared" si="15"/>
        <v>0.36511587644495147</v>
      </c>
      <c r="AC39" s="12">
        <f t="shared" si="16"/>
        <v>0.36051698797626652</v>
      </c>
      <c r="AD39" s="17">
        <f t="shared" si="35"/>
        <v>1821.0733</v>
      </c>
      <c r="AE39" s="24">
        <f t="shared" si="17"/>
        <v>93.122661720000011</v>
      </c>
      <c r="AF39" s="24">
        <f>-(AE39-'0. Current system'!$L39)</f>
        <v>736.82054489999996</v>
      </c>
      <c r="AG39" s="12">
        <f>(AE39-'0. Current system'!$L39)/'0. Current system'!$L39</f>
        <v>-0.88779634440379562</v>
      </c>
      <c r="AH39" s="24">
        <f>(Y12-'0. Current system'!$G12)*$L39/(AF39)</f>
        <v>-229.5384011240339</v>
      </c>
      <c r="AI39" s="24">
        <f>-(Y12-'1. Diesel, no storage'!$G12)*$L39/(AE39-'1. Diesel, no storage'!$M39)</f>
        <v>-425.67835750418311</v>
      </c>
      <c r="AJ39" s="29">
        <f t="shared" si="36"/>
        <v>-169.12860979168542</v>
      </c>
      <c r="AK39" s="1"/>
      <c r="AL39" s="2" t="s">
        <v>17</v>
      </c>
      <c r="AM39" s="3">
        <v>272.04226299999999</v>
      </c>
      <c r="AN39" s="3" t="s">
        <v>10</v>
      </c>
      <c r="AO39" s="19">
        <v>141.094942</v>
      </c>
      <c r="AP39" s="19">
        <v>86.505459999999999</v>
      </c>
      <c r="AQ39" s="19" t="s">
        <v>10</v>
      </c>
      <c r="AR39" s="19">
        <v>664.91292599999997</v>
      </c>
      <c r="AS39" s="19">
        <v>656.51770899999997</v>
      </c>
      <c r="AT39" s="12">
        <f t="shared" si="37"/>
        <v>0.36512145117936773</v>
      </c>
      <c r="AU39" s="12">
        <f t="shared" si="37"/>
        <v>0.42372488496181232</v>
      </c>
      <c r="AV39" s="55">
        <f t="shared" si="38"/>
        <v>1821.0732999999998</v>
      </c>
      <c r="AW39" s="24">
        <f t="shared" si="18"/>
        <v>93.122661720000011</v>
      </c>
      <c r="AX39" s="24">
        <f>-(AQ12-'0. Current system'!$G12)*SUM(AM39:AS39)/(AW39-'0. Current system'!$L39)</f>
        <v>-222.44678382099255</v>
      </c>
      <c r="AY39" s="1"/>
      <c r="AZ39" s="2" t="s">
        <v>17</v>
      </c>
      <c r="BA39" s="3">
        <v>255.99801199999999</v>
      </c>
      <c r="BB39" s="3" t="s">
        <v>10</v>
      </c>
      <c r="BC39" s="19">
        <v>109.216629</v>
      </c>
      <c r="BD39" s="19">
        <v>0</v>
      </c>
      <c r="BE39" s="19" t="s">
        <v>10</v>
      </c>
      <c r="BF39" s="19">
        <v>934.91098199999999</v>
      </c>
      <c r="BG39" s="19">
        <v>520.947677</v>
      </c>
      <c r="BH39" s="12">
        <f t="shared" si="19"/>
        <v>0.51338459687482096</v>
      </c>
      <c r="BI39" s="12">
        <f t="shared" si="20"/>
        <v>0.2860662868430392</v>
      </c>
      <c r="BJ39" s="17">
        <f t="shared" si="39"/>
        <v>1821.0733</v>
      </c>
      <c r="BK39" s="24">
        <f t="shared" si="21"/>
        <v>72.082975140000002</v>
      </c>
      <c r="BL39" s="24">
        <f>-(BK39-'0. Current system'!$L39)</f>
        <v>757.86023147999992</v>
      </c>
      <c r="BM39" s="12">
        <f>(BK39-'0. Current system'!$L39)/'0. Current system'!$L39</f>
        <v>-0.91314709902432623</v>
      </c>
      <c r="BN39" s="24">
        <f>(BE12-'0. Current system'!$G12)*BJ39/(BL39)</f>
        <v>-227.43519413112855</v>
      </c>
      <c r="BO39" s="24">
        <f>-(BE12-'1. Diesel, no storage'!$G12)*BJ39/(BK39-'1. Diesel, no storage'!$M39)</f>
        <v>-382.31795022852111</v>
      </c>
      <c r="BP39" s="29">
        <f t="shared" si="40"/>
        <v>-172.36408887091582</v>
      </c>
      <c r="BQ39" s="1"/>
      <c r="BR39" s="2" t="s">
        <v>17</v>
      </c>
      <c r="BS39" s="3">
        <v>256.92087600000002</v>
      </c>
      <c r="BT39" s="3" t="s">
        <v>10</v>
      </c>
      <c r="BU39" s="19">
        <v>134.36239800000001</v>
      </c>
      <c r="BV39" s="19">
        <v>356.99856899999997</v>
      </c>
      <c r="BW39" s="19" t="s">
        <v>10</v>
      </c>
      <c r="BX39" s="19">
        <v>296.23566599999998</v>
      </c>
      <c r="BY39" s="19">
        <v>776.555791</v>
      </c>
      <c r="BZ39" s="12">
        <f t="shared" si="22"/>
        <v>0.162670918298566</v>
      </c>
      <c r="CA39" s="12">
        <f t="shared" si="23"/>
        <v>0.42642753095111546</v>
      </c>
      <c r="CB39" s="55">
        <f t="shared" si="41"/>
        <v>1821.0733</v>
      </c>
      <c r="CC39" s="24">
        <f t="shared" si="24"/>
        <v>88.679182680000011</v>
      </c>
      <c r="CD39" s="24">
        <f>-(BW12-'0. Current system'!$G12)*SUM(BS39:BY39)/(CC39-'0. Current system'!$L39)</f>
        <v>-221.20919352562765</v>
      </c>
      <c r="CE39" s="12"/>
      <c r="CF39" s="24"/>
      <c r="CG39" s="24"/>
      <c r="CH39" s="29"/>
      <c r="CI39" s="1"/>
      <c r="CJ39" s="2" t="s">
        <v>17</v>
      </c>
      <c r="CK39" s="3">
        <v>255.99801199999999</v>
      </c>
      <c r="CL39" s="3" t="s">
        <v>10</v>
      </c>
      <c r="CM39" s="3">
        <v>109.216629</v>
      </c>
      <c r="CN39" s="3">
        <v>0</v>
      </c>
      <c r="CO39" s="3" t="s">
        <v>10</v>
      </c>
      <c r="CP39" s="3">
        <v>935.02785800000004</v>
      </c>
      <c r="CQ39" s="3">
        <v>520.83080099999995</v>
      </c>
      <c r="CR39" s="12">
        <f t="shared" si="25"/>
        <v>0.51344877660882737</v>
      </c>
      <c r="CS39" s="12">
        <f t="shared" si="26"/>
        <v>0.28600210710903284</v>
      </c>
      <c r="CT39" s="55">
        <f t="shared" si="42"/>
        <v>1821.0733</v>
      </c>
      <c r="CU39" s="24">
        <f t="shared" si="27"/>
        <v>72.082975140000002</v>
      </c>
      <c r="CV39" s="24">
        <f>-(CO12-'0. Current system'!$G12)*SUM(CK39:CQ39)/(CU39-'0. Current system'!$L39)</f>
        <v>-227.43519413112855</v>
      </c>
      <c r="CW39" s="1"/>
      <c r="CX39" s="2" t="s">
        <v>17</v>
      </c>
      <c r="CY39" s="3">
        <v>237.055665</v>
      </c>
      <c r="CZ39" s="3" t="s">
        <v>10</v>
      </c>
      <c r="DA39" s="3">
        <v>82.825806</v>
      </c>
      <c r="DB39" s="3">
        <v>0</v>
      </c>
      <c r="DC39" s="3" t="s">
        <v>10</v>
      </c>
      <c r="DD39" s="3">
        <v>968.18366900000001</v>
      </c>
      <c r="DE39" s="3">
        <v>533.00816099999997</v>
      </c>
      <c r="DF39" s="12">
        <f t="shared" si="28"/>
        <v>0.53165551820456647</v>
      </c>
      <c r="DG39" s="12">
        <f t="shared" si="29"/>
        <v>0.29268902080987075</v>
      </c>
      <c r="DH39" s="55">
        <f t="shared" si="43"/>
        <v>1821.0733010000001</v>
      </c>
      <c r="DI39" s="24">
        <f t="shared" si="30"/>
        <v>54.66503196</v>
      </c>
      <c r="DJ39" s="24">
        <f>-(DC12-'0. Current system'!$G12)*SUM(CY39:DE39)/(DI39-'0. Current system'!$L39)</f>
        <v>-223.77996768157374</v>
      </c>
      <c r="DK39" s="1"/>
    </row>
    <row r="40" spans="1:115">
      <c r="A40" s="1"/>
      <c r="B40" s="2" t="s">
        <v>18</v>
      </c>
      <c r="C40" s="3" t="s">
        <v>10</v>
      </c>
      <c r="D40" s="3" t="s">
        <v>10</v>
      </c>
      <c r="E40" s="19">
        <v>21.569506000000001</v>
      </c>
      <c r="F40" s="19">
        <v>99.524208000000002</v>
      </c>
      <c r="G40" s="19" t="s">
        <v>10</v>
      </c>
      <c r="H40" s="19">
        <v>121.51757600000001</v>
      </c>
      <c r="I40" s="19">
        <v>30.571560000000002</v>
      </c>
      <c r="J40" s="12">
        <f t="shared" si="31"/>
        <v>0.4448213934366671</v>
      </c>
      <c r="K40" s="12">
        <f t="shared" si="32"/>
        <v>0.11172685804880664</v>
      </c>
      <c r="L40" s="17">
        <f t="shared" si="33"/>
        <v>273.18284999999997</v>
      </c>
      <c r="M40" s="24">
        <f t="shared" si="14"/>
        <v>14.235873960000001</v>
      </c>
      <c r="N40" s="24">
        <f>(M40-'0. Current system'!$L40)</f>
        <v>-158.01415674</v>
      </c>
      <c r="O40" s="12">
        <f>(M40-'0. Current system'!$L40)/'0. Current system'!$L40</f>
        <v>-0.91735343150798065</v>
      </c>
      <c r="P40" s="24">
        <f>-(G13-'0. Current system'!$G13)*$L40/(N40)</f>
        <v>-167.3135623689748</v>
      </c>
      <c r="Q40" s="24">
        <f>-(G13-'1. Diesel, no storage'!$G13)*$L40/(M40-'1. Diesel, no storage'!$M40)</f>
        <v>-2098.9402138033174</v>
      </c>
      <c r="R40" s="29">
        <f t="shared" si="34"/>
        <v>26.43791146889895</v>
      </c>
      <c r="S40" s="1"/>
      <c r="T40" s="2" t="s">
        <v>18</v>
      </c>
      <c r="U40" s="3" t="s">
        <v>10</v>
      </c>
      <c r="V40" s="3" t="s">
        <v>10</v>
      </c>
      <c r="W40" s="19">
        <v>21.569506000000001</v>
      </c>
      <c r="X40" s="19">
        <v>99.524208000000002</v>
      </c>
      <c r="Y40" s="19" t="s">
        <v>10</v>
      </c>
      <c r="Z40" s="19">
        <v>121.530331</v>
      </c>
      <c r="AA40" s="19">
        <v>30.558805</v>
      </c>
      <c r="AB40" s="12">
        <f t="shared" si="15"/>
        <v>0.4448680821476601</v>
      </c>
      <c r="AC40" s="12">
        <f t="shared" si="16"/>
        <v>0.11186209122621682</v>
      </c>
      <c r="AD40" s="17">
        <f t="shared" si="35"/>
        <v>273.18285000000003</v>
      </c>
      <c r="AE40" s="24">
        <f t="shared" si="17"/>
        <v>14.235873960000001</v>
      </c>
      <c r="AF40" s="24">
        <f>-(AE40-'0. Current system'!$L40)</f>
        <v>158.01415674</v>
      </c>
      <c r="AG40" s="12">
        <f>(AE40-'0. Current system'!$L40)/'0. Current system'!$L40</f>
        <v>-0.91735343150798065</v>
      </c>
      <c r="AH40" s="24">
        <f>(Y13-'0. Current system'!$G13)*$L40/(AF40)</f>
        <v>-167.3135623689748</v>
      </c>
      <c r="AI40" s="24">
        <f>-(Y13-'1. Diesel, no storage'!$G13)*$L40/(AE40-'1. Diesel, no storage'!$M40)</f>
        <v>-2098.9402138033174</v>
      </c>
      <c r="AJ40" s="29">
        <f t="shared" si="36"/>
        <v>-26.43791146889895</v>
      </c>
      <c r="AK40" s="1"/>
      <c r="AL40" s="2" t="s">
        <v>18</v>
      </c>
      <c r="AM40" s="3" t="s">
        <v>10</v>
      </c>
      <c r="AN40" s="3" t="s">
        <v>10</v>
      </c>
      <c r="AO40" s="19">
        <v>21.569506000000001</v>
      </c>
      <c r="AP40" s="19">
        <v>99.524208000000002</v>
      </c>
      <c r="AQ40" s="19" t="s">
        <v>10</v>
      </c>
      <c r="AR40" s="19">
        <v>121.522589</v>
      </c>
      <c r="AS40" s="19">
        <v>30.566547</v>
      </c>
      <c r="AT40" s="12">
        <f t="shared" si="37"/>
        <v>0.44483974378333041</v>
      </c>
      <c r="AU40" s="12">
        <f t="shared" si="37"/>
        <v>0.11170853004175704</v>
      </c>
      <c r="AV40" s="55">
        <f t="shared" si="38"/>
        <v>273.18285000000003</v>
      </c>
      <c r="AW40" s="24">
        <f t="shared" si="18"/>
        <v>14.235873960000001</v>
      </c>
      <c r="AX40" s="24">
        <f>-(AQ13-'0. Current system'!$G13)*SUM(AM40:AS40)/(AW40-'0. Current system'!$L40)</f>
        <v>-161.3612788633109</v>
      </c>
      <c r="AY40" s="1"/>
      <c r="AZ40" s="2" t="s">
        <v>18</v>
      </c>
      <c r="BA40" s="3" t="s">
        <v>10</v>
      </c>
      <c r="BB40" s="3" t="s">
        <v>10</v>
      </c>
      <c r="BC40" s="19">
        <v>20.684190000000001</v>
      </c>
      <c r="BD40" s="19">
        <v>71.632520999999997</v>
      </c>
      <c r="BE40" s="19" t="s">
        <v>10</v>
      </c>
      <c r="BF40" s="19">
        <v>156.365261</v>
      </c>
      <c r="BG40" s="19">
        <v>24.500878</v>
      </c>
      <c r="BH40" s="12">
        <f t="shared" si="19"/>
        <v>0.57238315080034063</v>
      </c>
      <c r="BI40" s="12">
        <f t="shared" si="20"/>
        <v>8.9686735131115525E-2</v>
      </c>
      <c r="BJ40" s="17">
        <f t="shared" si="39"/>
        <v>273.18285000000003</v>
      </c>
      <c r="BK40" s="24">
        <f t="shared" si="21"/>
        <v>13.651565400000001</v>
      </c>
      <c r="BL40" s="24">
        <f>-(BK40-'0. Current system'!$L40)</f>
        <v>158.59846529999999</v>
      </c>
      <c r="BM40" s="12">
        <f>(BK40-'0. Current system'!$L40)/'0. Current system'!$L40</f>
        <v>-0.92074564315302609</v>
      </c>
      <c r="BN40" s="24">
        <f>(BE13-'0. Current system'!$G13)*BJ40/(BL40)</f>
        <v>-170.00579402526952</v>
      </c>
      <c r="BO40" s="24">
        <f>-(BE13-'1. Diesel, no storage'!$G13)*BJ40/(BK40-'1. Diesel, no storage'!$M40)</f>
        <v>-1888.0963213647849</v>
      </c>
      <c r="BP40" s="29">
        <f t="shared" si="40"/>
        <v>-26.962658024515655</v>
      </c>
      <c r="BQ40" s="1"/>
      <c r="BR40" s="2" t="s">
        <v>18</v>
      </c>
      <c r="BS40" s="3" t="s">
        <v>10</v>
      </c>
      <c r="BT40" s="3" t="s">
        <v>10</v>
      </c>
      <c r="BU40" s="19">
        <v>18.75827</v>
      </c>
      <c r="BV40" s="19">
        <v>145.582785</v>
      </c>
      <c r="BW40" s="19" t="s">
        <v>10</v>
      </c>
      <c r="BX40" s="19">
        <v>63.945355999999997</v>
      </c>
      <c r="BY40" s="19">
        <v>44.896439999999998</v>
      </c>
      <c r="BZ40" s="12">
        <f t="shared" si="22"/>
        <v>0.23407529340119521</v>
      </c>
      <c r="CA40" s="12">
        <f t="shared" si="23"/>
        <v>0.16434574804258117</v>
      </c>
      <c r="CB40" s="55">
        <f t="shared" si="41"/>
        <v>273.18285100000003</v>
      </c>
      <c r="CC40" s="24">
        <f t="shared" si="24"/>
        <v>12.3804582</v>
      </c>
      <c r="CD40" s="24">
        <f>-(BW13-'0. Current system'!$G13)*SUM(BS40:BY40)/(CC40-'0. Current system'!$L40)</f>
        <v>-159.3074558202272</v>
      </c>
      <c r="CE40" s="12"/>
      <c r="CF40" s="24"/>
      <c r="CG40" s="24"/>
      <c r="CH40" s="29"/>
      <c r="CI40" s="1"/>
      <c r="CJ40" s="2" t="s">
        <v>18</v>
      </c>
      <c r="CK40" s="3" t="s">
        <v>10</v>
      </c>
      <c r="CL40" s="3" t="s">
        <v>10</v>
      </c>
      <c r="CM40" s="3">
        <v>20.684190000000001</v>
      </c>
      <c r="CN40" s="3">
        <v>71.632520999999997</v>
      </c>
      <c r="CO40" s="3" t="s">
        <v>10</v>
      </c>
      <c r="CP40" s="3">
        <v>156.37041400000001</v>
      </c>
      <c r="CQ40" s="3">
        <v>24.495725</v>
      </c>
      <c r="CR40" s="12">
        <f t="shared" si="25"/>
        <v>0.57240201362420073</v>
      </c>
      <c r="CS40" s="12">
        <f t="shared" si="26"/>
        <v>8.9667872307255467E-2</v>
      </c>
      <c r="CT40" s="55">
        <f t="shared" si="42"/>
        <v>273.18285000000003</v>
      </c>
      <c r="CU40" s="24">
        <f t="shared" si="27"/>
        <v>13.651565400000001</v>
      </c>
      <c r="CV40" s="24">
        <f>-(CO13-'0. Current system'!$G13)*SUM(CK40:CQ40)/(CU40-'0. Current system'!$L40)</f>
        <v>-170.00579402526952</v>
      </c>
      <c r="CW40" s="1"/>
      <c r="CX40" s="2" t="s">
        <v>18</v>
      </c>
      <c r="CY40" s="3" t="s">
        <v>10</v>
      </c>
      <c r="CZ40" s="3" t="s">
        <v>10</v>
      </c>
      <c r="DA40" s="3">
        <v>19.188708999999999</v>
      </c>
      <c r="DB40" s="3">
        <v>71.715800999999999</v>
      </c>
      <c r="DC40" s="3" t="s">
        <v>10</v>
      </c>
      <c r="DD40" s="3">
        <v>153.542213</v>
      </c>
      <c r="DE40" s="3">
        <v>28.736128000000001</v>
      </c>
      <c r="DF40" s="12">
        <f t="shared" si="28"/>
        <v>0.56204923712433175</v>
      </c>
      <c r="DG40" s="12">
        <f t="shared" si="29"/>
        <v>0.10519008749930646</v>
      </c>
      <c r="DH40" s="55">
        <f t="shared" si="43"/>
        <v>273.18285100000003</v>
      </c>
      <c r="DI40" s="24">
        <f t="shared" si="30"/>
        <v>12.66454794</v>
      </c>
      <c r="DJ40" s="24">
        <f>-(DC13-'0. Current system'!$G13)*SUM(CY40:DE40)/(DI40-'0. Current system'!$L40)</f>
        <v>-168.56488797960989</v>
      </c>
      <c r="DK40" s="1"/>
    </row>
    <row r="41" spans="1:115">
      <c r="A41" s="1"/>
      <c r="B41" s="2" t="s">
        <v>19</v>
      </c>
      <c r="C41" s="3" t="s">
        <v>10</v>
      </c>
      <c r="D41" s="3" t="s">
        <v>10</v>
      </c>
      <c r="E41" s="19">
        <v>8.6451600000000006</v>
      </c>
      <c r="F41" s="19">
        <v>0</v>
      </c>
      <c r="G41" s="19">
        <v>43.449399999999997</v>
      </c>
      <c r="H41" s="19">
        <v>36.770149000000004</v>
      </c>
      <c r="I41" s="19">
        <v>93.251891000000001</v>
      </c>
      <c r="J41" s="12">
        <f t="shared" si="31"/>
        <v>0.20190443375288142</v>
      </c>
      <c r="K41" s="12">
        <f t="shared" si="32"/>
        <v>0.51147792863715569</v>
      </c>
      <c r="L41" s="17">
        <f t="shared" si="33"/>
        <v>182.11660000000001</v>
      </c>
      <c r="M41" s="24">
        <f t="shared" si="14"/>
        <v>5.7058056000000006</v>
      </c>
      <c r="N41" s="24">
        <f>(M41-'0. Current system'!$L41)</f>
        <v>-80.021703959999996</v>
      </c>
      <c r="O41" s="12">
        <f>(M41-'0. Current system'!$L41)/'0. Current system'!$L41</f>
        <v>-0.93344253636568597</v>
      </c>
      <c r="P41" s="24">
        <f>-(G14-'0. Current system'!$G14)*$L41/(N41)</f>
        <v>-239.94570526454464</v>
      </c>
      <c r="Q41" s="24">
        <f>-(G14-'1. Diesel, no storage'!$G14)*$L41/(M41-'1. Diesel, no storage'!$M41)</f>
        <v>-267.97653114557494</v>
      </c>
      <c r="R41" s="29">
        <f t="shared" si="34"/>
        <v>19.200864193152803</v>
      </c>
      <c r="S41" s="1"/>
      <c r="T41" s="2" t="s">
        <v>19</v>
      </c>
      <c r="U41" s="3" t="s">
        <v>10</v>
      </c>
      <c r="V41" s="3" t="s">
        <v>10</v>
      </c>
      <c r="W41" s="19">
        <v>8.6451600000000006</v>
      </c>
      <c r="X41" s="19">
        <v>0</v>
      </c>
      <c r="Y41" s="19">
        <v>43.449399999999997</v>
      </c>
      <c r="Z41" s="19">
        <v>36.765751000000002</v>
      </c>
      <c r="AA41" s="19">
        <v>93.256288999999995</v>
      </c>
      <c r="AB41" s="12">
        <f t="shared" si="15"/>
        <v>0.20188028438923195</v>
      </c>
      <c r="AC41" s="12">
        <f t="shared" si="16"/>
        <v>0.51206913043621505</v>
      </c>
      <c r="AD41" s="17">
        <f t="shared" si="35"/>
        <v>182.11660000000001</v>
      </c>
      <c r="AE41" s="24">
        <f t="shared" si="17"/>
        <v>5.7058056000000006</v>
      </c>
      <c r="AF41" s="24">
        <f>-(AE41-'0. Current system'!$L41)</f>
        <v>80.021703959999996</v>
      </c>
      <c r="AG41" s="12">
        <f>(AE41-'0. Current system'!$L41)/'0. Current system'!$L41</f>
        <v>-0.93344253636568597</v>
      </c>
      <c r="AH41" s="24">
        <f>(Y14-'0. Current system'!$G14)*$L41/(AF41)</f>
        <v>-239.94570526454464</v>
      </c>
      <c r="AI41" s="24">
        <f>-(Y14-'1. Diesel, no storage'!$G14)*$L41/(AE41-'1. Diesel, no storage'!$M41)</f>
        <v>-267.97653114557494</v>
      </c>
      <c r="AJ41" s="29">
        <f t="shared" si="36"/>
        <v>-19.200864193152803</v>
      </c>
      <c r="AK41" s="1"/>
      <c r="AL41" s="2" t="s">
        <v>19</v>
      </c>
      <c r="AM41" s="3" t="s">
        <v>10</v>
      </c>
      <c r="AN41" s="3" t="s">
        <v>10</v>
      </c>
      <c r="AO41" s="19">
        <v>8.6012830000000005</v>
      </c>
      <c r="AP41" s="19">
        <v>0</v>
      </c>
      <c r="AQ41" s="19">
        <v>43.840466999999997</v>
      </c>
      <c r="AR41" s="19">
        <v>38.621443999999997</v>
      </c>
      <c r="AS41" s="19">
        <v>91.053405999999995</v>
      </c>
      <c r="AT41" s="12">
        <f t="shared" si="37"/>
        <v>0.21206987171954669</v>
      </c>
      <c r="AU41" s="12">
        <f t="shared" si="37"/>
        <v>0.49939159905056169</v>
      </c>
      <c r="AV41" s="55">
        <f t="shared" si="38"/>
        <v>182.11660000000001</v>
      </c>
      <c r="AW41" s="24">
        <f t="shared" si="18"/>
        <v>5.6768467800000009</v>
      </c>
      <c r="AX41" s="24">
        <f>-(AQ14-'0. Current system'!$G14)*SUM(AM41:AS41)/(AW41-'0. Current system'!$L41)</f>
        <v>-235.31098111112482</v>
      </c>
      <c r="AY41" s="1"/>
      <c r="AZ41" s="2" t="s">
        <v>19</v>
      </c>
      <c r="BA41" s="3" t="s">
        <v>10</v>
      </c>
      <c r="BB41" s="3" t="s">
        <v>10</v>
      </c>
      <c r="BC41" s="19">
        <v>8.6451600000000006</v>
      </c>
      <c r="BD41" s="19">
        <v>0</v>
      </c>
      <c r="BE41" s="19">
        <v>43.449399999999997</v>
      </c>
      <c r="BF41" s="19">
        <v>36.772382</v>
      </c>
      <c r="BG41" s="19">
        <v>93.249657999999997</v>
      </c>
      <c r="BH41" s="12">
        <f t="shared" si="19"/>
        <v>0.20191669512828594</v>
      </c>
      <c r="BI41" s="12">
        <f t="shared" si="20"/>
        <v>0.51203271969716102</v>
      </c>
      <c r="BJ41" s="17">
        <f t="shared" si="39"/>
        <v>182.11660000000001</v>
      </c>
      <c r="BK41" s="24">
        <f t="shared" si="21"/>
        <v>5.7058056000000006</v>
      </c>
      <c r="BL41" s="24">
        <f>-(BK41-'0. Current system'!$L41)</f>
        <v>80.021703959999996</v>
      </c>
      <c r="BM41" s="12">
        <f>(BK41-'0. Current system'!$L41)/'0. Current system'!$L41</f>
        <v>-0.93344253636568597</v>
      </c>
      <c r="BN41" s="24">
        <f>(BE14-'0. Current system'!$G14)*BJ41/(BL41)</f>
        <v>-240.23641879870064</v>
      </c>
      <c r="BO41" s="24">
        <f>-(BE14-'1. Diesel, no storage'!$G14)*BJ41/(BK41-'1. Diesel, no storage'!$M41)</f>
        <v>-270.39830396820651</v>
      </c>
      <c r="BP41" s="29">
        <f t="shared" si="40"/>
        <v>-19.224127585520201</v>
      </c>
      <c r="BQ41" s="1"/>
      <c r="BR41" s="2" t="s">
        <v>19</v>
      </c>
      <c r="BS41" s="3" t="s">
        <v>10</v>
      </c>
      <c r="BT41" s="3" t="s">
        <v>10</v>
      </c>
      <c r="BU41" s="19">
        <v>8.7982399999999998</v>
      </c>
      <c r="BV41" s="19">
        <v>0</v>
      </c>
      <c r="BW41" s="19">
        <v>45.084212000000001</v>
      </c>
      <c r="BX41" s="19">
        <v>42.196458999999997</v>
      </c>
      <c r="BY41" s="19">
        <v>86.037689</v>
      </c>
      <c r="BZ41" s="12">
        <f t="shared" si="22"/>
        <v>0.2317002349044513</v>
      </c>
      <c r="CA41" s="12">
        <f t="shared" si="23"/>
        <v>0.47243188704379502</v>
      </c>
      <c r="CB41" s="55">
        <f t="shared" si="41"/>
        <v>182.11660000000001</v>
      </c>
      <c r="CC41" s="24">
        <f t="shared" si="24"/>
        <v>5.8068384000000002</v>
      </c>
      <c r="CD41" s="24">
        <f>-(BW14-'0. Current system'!$G14)*SUM(BS41:BY41)/(CC41-'0. Current system'!$L41)</f>
        <v>-239.27729520353046</v>
      </c>
      <c r="CE41" s="12"/>
      <c r="CF41" s="24"/>
      <c r="CG41" s="24"/>
      <c r="CH41" s="29"/>
      <c r="CI41" s="1"/>
      <c r="CJ41" s="2" t="s">
        <v>19</v>
      </c>
      <c r="CK41" s="3" t="s">
        <v>10</v>
      </c>
      <c r="CL41" s="3" t="s">
        <v>10</v>
      </c>
      <c r="CM41" s="3">
        <v>8.6451600000000006</v>
      </c>
      <c r="CN41" s="3">
        <v>0</v>
      </c>
      <c r="CO41" s="3">
        <v>43.449399999999997</v>
      </c>
      <c r="CP41" s="3">
        <v>36.767546000000003</v>
      </c>
      <c r="CQ41" s="3">
        <v>93.254493999999994</v>
      </c>
      <c r="CR41" s="12">
        <f t="shared" si="25"/>
        <v>0.20189014071204933</v>
      </c>
      <c r="CS41" s="12">
        <f t="shared" si="26"/>
        <v>0.51205927411339758</v>
      </c>
      <c r="CT41" s="55">
        <f t="shared" si="42"/>
        <v>182.11660000000001</v>
      </c>
      <c r="CU41" s="24">
        <f t="shared" si="27"/>
        <v>5.7058056000000006</v>
      </c>
      <c r="CV41" s="24">
        <f>-(CO14-'0. Current system'!$G14)*SUM(CK41:CQ41)/(CU41-'0. Current system'!$L41)</f>
        <v>-240.23641879870064</v>
      </c>
      <c r="CW41" s="1"/>
      <c r="CX41" s="2" t="s">
        <v>19</v>
      </c>
      <c r="CY41" s="3" t="s">
        <v>10</v>
      </c>
      <c r="CZ41" s="3" t="s">
        <v>10</v>
      </c>
      <c r="DA41" s="3">
        <v>8.6542770000000004</v>
      </c>
      <c r="DB41" s="3">
        <v>0</v>
      </c>
      <c r="DC41" s="3">
        <v>43.451227000000003</v>
      </c>
      <c r="DD41" s="3">
        <v>36.768456999999998</v>
      </c>
      <c r="DE41" s="3">
        <v>93.242639999999994</v>
      </c>
      <c r="DF41" s="12">
        <f t="shared" si="28"/>
        <v>0.20189514300179115</v>
      </c>
      <c r="DG41" s="12">
        <f t="shared" si="29"/>
        <v>0.51199418394588958</v>
      </c>
      <c r="DH41" s="55">
        <f t="shared" si="43"/>
        <v>182.116601</v>
      </c>
      <c r="DI41" s="24">
        <f t="shared" si="30"/>
        <v>5.711822820000001</v>
      </c>
      <c r="DJ41" s="24">
        <f>-(DC14-'0. Current system'!$G14)*SUM(CY41:DE41)/(DI41-'0. Current system'!$L41)</f>
        <v>-240.34199864930258</v>
      </c>
      <c r="DK41" s="1"/>
    </row>
    <row r="42" spans="1:115" ht="29.5">
      <c r="A42" s="1"/>
      <c r="L42" s="49" t="s">
        <v>168</v>
      </c>
      <c r="S42" s="1"/>
      <c r="AE42" t="s">
        <v>131</v>
      </c>
      <c r="AK42" s="1"/>
      <c r="AY42" s="1"/>
      <c r="BQ42" s="1"/>
      <c r="CI42" s="1"/>
      <c r="CW42" s="1"/>
      <c r="DK42" s="1"/>
    </row>
    <row r="43" spans="1:115">
      <c r="A43" s="1"/>
      <c r="B43" s="2" t="s">
        <v>9</v>
      </c>
      <c r="C43" t="e">
        <f t="shared" ref="C43:I43" si="44">C32/(C19*8.76)</f>
        <v>#VALUE!</v>
      </c>
      <c r="D43" t="e">
        <f t="shared" si="44"/>
        <v>#VALUE!</v>
      </c>
      <c r="E43" s="6">
        <f t="shared" si="44"/>
        <v>0.33875158161219643</v>
      </c>
      <c r="F43" s="6" t="e">
        <f t="shared" si="44"/>
        <v>#VALUE!</v>
      </c>
      <c r="G43" s="6" t="e">
        <f t="shared" si="44"/>
        <v>#VALUE!</v>
      </c>
      <c r="H43" s="6">
        <f t="shared" si="44"/>
        <v>0.20116553631734083</v>
      </c>
      <c r="I43" s="6">
        <f t="shared" si="44"/>
        <v>0.50464511707808879</v>
      </c>
      <c r="L43" s="12">
        <f>E32/L32</f>
        <v>0.26305562148245176</v>
      </c>
      <c r="S43" s="1"/>
      <c r="T43" s="2" t="s">
        <v>9</v>
      </c>
      <c r="U43" t="e">
        <f t="shared" ref="U43:AA43" si="45">U32/(U19*8.76)</f>
        <v>#VALUE!</v>
      </c>
      <c r="V43" t="e">
        <f t="shared" si="45"/>
        <v>#VALUE!</v>
      </c>
      <c r="W43" s="6">
        <f t="shared" si="45"/>
        <v>0.33875158161219643</v>
      </c>
      <c r="X43" s="6" t="e">
        <f t="shared" si="45"/>
        <v>#VALUE!</v>
      </c>
      <c r="Y43" s="6" t="e">
        <f t="shared" si="45"/>
        <v>#VALUE!</v>
      </c>
      <c r="Z43" s="6">
        <f t="shared" si="45"/>
        <v>0.20108937716071673</v>
      </c>
      <c r="AA43" s="6">
        <f t="shared" si="45"/>
        <v>0.50492291693011671</v>
      </c>
      <c r="AB43" s="6"/>
      <c r="AC43" s="6"/>
      <c r="AD43" s="6"/>
      <c r="AE43" s="23">
        <f>W32/SUM(U32:AA32)</f>
        <v>0.26305562148245176</v>
      </c>
      <c r="AF43" s="6"/>
      <c r="AG43" s="6"/>
      <c r="AH43" s="6">
        <f>AVERAGE(AH32:AH41)</f>
        <v>-183.56666948313793</v>
      </c>
      <c r="AI43" s="6"/>
      <c r="AJ43" s="6"/>
      <c r="AK43" s="1"/>
      <c r="AL43" s="2" t="s">
        <v>9</v>
      </c>
      <c r="AM43" t="e">
        <f t="shared" ref="AM43:AS43" si="46">AM32/(AM19*8.76)</f>
        <v>#VALUE!</v>
      </c>
      <c r="AN43" t="e">
        <f t="shared" si="46"/>
        <v>#VALUE!</v>
      </c>
      <c r="AO43" s="6">
        <f t="shared" si="46"/>
        <v>0.33875158161219643</v>
      </c>
      <c r="AP43" s="6" t="e">
        <f t="shared" si="46"/>
        <v>#VALUE!</v>
      </c>
      <c r="AQ43" s="6" t="e">
        <f t="shared" si="46"/>
        <v>#VALUE!</v>
      </c>
      <c r="AR43" s="6">
        <f t="shared" si="46"/>
        <v>0.20111290603156504</v>
      </c>
      <c r="AS43" s="6">
        <f t="shared" si="46"/>
        <v>0.50483709249179864</v>
      </c>
      <c r="AY43" s="1"/>
      <c r="AZ43" s="2" t="s">
        <v>9</v>
      </c>
      <c r="BA43" t="e">
        <f t="shared" ref="BA43:BG43" si="47">BA32/(BA19*8.76)</f>
        <v>#VALUE!</v>
      </c>
      <c r="BB43" t="e">
        <f t="shared" si="47"/>
        <v>#VALUE!</v>
      </c>
      <c r="BC43" s="6">
        <f t="shared" si="47"/>
        <v>0.28847128686476836</v>
      </c>
      <c r="BD43" s="6" t="e">
        <f t="shared" si="47"/>
        <v>#VALUE!</v>
      </c>
      <c r="BE43" s="6" t="e">
        <f t="shared" si="47"/>
        <v>#VALUE!</v>
      </c>
      <c r="BF43" s="6">
        <f t="shared" si="47"/>
        <v>0.19934765536037682</v>
      </c>
      <c r="BG43" s="6">
        <f t="shared" si="47"/>
        <v>0.50339935943690461</v>
      </c>
      <c r="BH43" s="6"/>
      <c r="BI43" s="6"/>
      <c r="BQ43" s="1"/>
      <c r="BR43" s="2" t="s">
        <v>9</v>
      </c>
      <c r="BS43" t="e">
        <f t="shared" ref="BS43:BY52" si="48">BS32/(BS19*8.76)</f>
        <v>#VALUE!</v>
      </c>
      <c r="BT43" t="e">
        <f t="shared" si="48"/>
        <v>#VALUE!</v>
      </c>
      <c r="BU43" s="6">
        <f t="shared" si="48"/>
        <v>0.37554817482850394</v>
      </c>
      <c r="BV43" s="6" t="e">
        <f t="shared" si="48"/>
        <v>#VALUE!</v>
      </c>
      <c r="BW43" s="6" t="e">
        <f t="shared" si="48"/>
        <v>#VALUE!</v>
      </c>
      <c r="BX43" s="6">
        <f t="shared" si="48"/>
        <v>0.20179371232376284</v>
      </c>
      <c r="BY43" s="6">
        <f t="shared" si="48"/>
        <v>0.50586610003138566</v>
      </c>
      <c r="BZ43" s="6"/>
      <c r="CA43" s="6"/>
      <c r="CB43" s="6"/>
      <c r="CC43" s="6"/>
      <c r="CD43" s="6"/>
      <c r="CI43" s="1"/>
      <c r="CJ43" s="2" t="s">
        <v>9</v>
      </c>
      <c r="CK43" t="e">
        <f t="shared" ref="CK43:CQ43" si="49">CK32/(CK19*8.76)</f>
        <v>#VALUE!</v>
      </c>
      <c r="CL43" t="e">
        <f t="shared" si="49"/>
        <v>#VALUE!</v>
      </c>
      <c r="CM43" s="6">
        <f t="shared" si="49"/>
        <v>0.28847128686476836</v>
      </c>
      <c r="CN43" s="6" t="e">
        <f t="shared" si="49"/>
        <v>#VALUE!</v>
      </c>
      <c r="CO43" s="6" t="e">
        <f t="shared" si="49"/>
        <v>#VALUE!</v>
      </c>
      <c r="CP43" s="6">
        <f t="shared" si="49"/>
        <v>0.19933504858672513</v>
      </c>
      <c r="CQ43" s="6">
        <f t="shared" si="49"/>
        <v>0.50351192732516803</v>
      </c>
      <c r="CR43" s="6"/>
      <c r="CS43" s="6"/>
      <c r="CT43" s="6"/>
      <c r="CU43" s="6"/>
      <c r="CV43" s="6"/>
      <c r="CW43" s="1"/>
      <c r="CX43" s="2" t="s">
        <v>9</v>
      </c>
      <c r="CY43" t="e">
        <f t="shared" ref="CY43:DE43" si="50">CY32/(CY19*8.76)</f>
        <v>#VALUE!</v>
      </c>
      <c r="CZ43" t="e">
        <f t="shared" si="50"/>
        <v>#VALUE!</v>
      </c>
      <c r="DA43" s="6">
        <f t="shared" si="50"/>
        <v>0.25852710943096002</v>
      </c>
      <c r="DB43" s="6" t="e">
        <f t="shared" si="50"/>
        <v>#VALUE!</v>
      </c>
      <c r="DC43" s="6" t="e">
        <f t="shared" si="50"/>
        <v>#VALUE!</v>
      </c>
      <c r="DD43" s="6">
        <f t="shared" si="50"/>
        <v>0.19948594479981627</v>
      </c>
      <c r="DE43" s="6">
        <f t="shared" si="50"/>
        <v>0.50361973390216896</v>
      </c>
      <c r="DF43" s="6"/>
      <c r="DG43" s="6"/>
      <c r="DH43" s="6"/>
      <c r="DI43" s="6"/>
      <c r="DJ43" s="6"/>
      <c r="DK43" s="1"/>
    </row>
    <row r="44" spans="1:115">
      <c r="A44" s="1"/>
      <c r="B44" s="2" t="s">
        <v>11</v>
      </c>
      <c r="C44">
        <f t="shared" ref="C44:I44" si="51">C33/(C20*8.76)</f>
        <v>0.84235421232876717</v>
      </c>
      <c r="D44" t="e">
        <f t="shared" si="51"/>
        <v>#VALUE!</v>
      </c>
      <c r="E44" s="6">
        <f t="shared" si="51"/>
        <v>0.27404430912802202</v>
      </c>
      <c r="F44" s="6" t="e">
        <f t="shared" si="51"/>
        <v>#VALUE!</v>
      </c>
      <c r="G44" s="6" t="e">
        <f t="shared" si="51"/>
        <v>#VALUE!</v>
      </c>
      <c r="H44" s="6">
        <f t="shared" si="51"/>
        <v>0.19917213838671211</v>
      </c>
      <c r="I44" s="6">
        <f t="shared" si="51"/>
        <v>0.56039918176671266</v>
      </c>
      <c r="L44" s="12">
        <f t="shared" ref="L44:L52" si="52">E33/L33</f>
        <v>0.16117344460177577</v>
      </c>
      <c r="S44" s="1"/>
      <c r="T44" s="2" t="s">
        <v>11</v>
      </c>
      <c r="U44">
        <f t="shared" ref="U44:AA44" si="53">U33/(U20*8.76)</f>
        <v>0.91577151826484027</v>
      </c>
      <c r="V44" t="e">
        <f t="shared" si="53"/>
        <v>#VALUE!</v>
      </c>
      <c r="W44" s="6">
        <f t="shared" si="53"/>
        <v>0.34158593875362225</v>
      </c>
      <c r="X44" s="6" t="e">
        <f t="shared" si="53"/>
        <v>#VALUE!</v>
      </c>
      <c r="Y44" s="6" t="e">
        <f t="shared" si="53"/>
        <v>#VALUE!</v>
      </c>
      <c r="Z44" s="6">
        <f t="shared" si="53"/>
        <v>0.1998553372586718</v>
      </c>
      <c r="AA44" s="6">
        <f t="shared" si="53"/>
        <v>0.56296537290715376</v>
      </c>
      <c r="AB44" s="6"/>
      <c r="AC44" s="6"/>
      <c r="AD44" s="6"/>
      <c r="AE44" s="23">
        <f t="shared" ref="AE44:AE52" si="54">W33/SUM(U33:AA33)</f>
        <v>0.21039086476569488</v>
      </c>
      <c r="AF44" s="6"/>
      <c r="AG44" s="6"/>
      <c r="AH44" s="6"/>
      <c r="AI44" s="6"/>
      <c r="AJ44" s="6"/>
      <c r="AK44" s="1"/>
      <c r="AL44" s="2" t="s">
        <v>11</v>
      </c>
      <c r="AM44">
        <f t="shared" ref="AM44:AS44" si="55">AM33/(AM20*8.76)</f>
        <v>0.8558439726027397</v>
      </c>
      <c r="AN44" t="e">
        <f t="shared" si="55"/>
        <v>#VALUE!</v>
      </c>
      <c r="AO44" s="6">
        <f t="shared" si="55"/>
        <v>0.28230363443552553</v>
      </c>
      <c r="AP44" s="6" t="e">
        <f t="shared" si="55"/>
        <v>#VALUE!</v>
      </c>
      <c r="AQ44" s="6" t="e">
        <f t="shared" si="55"/>
        <v>#VALUE!</v>
      </c>
      <c r="AR44" s="6">
        <f t="shared" si="55"/>
        <v>0.19923398796604991</v>
      </c>
      <c r="AS44" s="6">
        <f t="shared" si="55"/>
        <v>0.56058645523574857</v>
      </c>
      <c r="AY44" s="1"/>
      <c r="AZ44" s="2" t="s">
        <v>11</v>
      </c>
      <c r="BA44">
        <f t="shared" ref="BA44:BG44" si="56">BA33/(BA20*8.76)</f>
        <v>0.79601111872146124</v>
      </c>
      <c r="BB44" t="e">
        <f t="shared" si="56"/>
        <v>#VALUE!</v>
      </c>
      <c r="BC44" s="6">
        <f t="shared" si="56"/>
        <v>0.24271312086070651</v>
      </c>
      <c r="BD44" s="6" t="e">
        <f t="shared" si="56"/>
        <v>#VALUE!</v>
      </c>
      <c r="BE44" s="6" t="e">
        <f t="shared" si="56"/>
        <v>#VALUE!</v>
      </c>
      <c r="BF44" s="6">
        <f t="shared" si="56"/>
        <v>0.19880739632918595</v>
      </c>
      <c r="BG44" s="6">
        <f t="shared" si="56"/>
        <v>0.5597594841794119</v>
      </c>
      <c r="BH44" s="6"/>
      <c r="BI44" s="6"/>
      <c r="BQ44" s="1"/>
      <c r="BR44" s="2" t="s">
        <v>11</v>
      </c>
      <c r="BS44">
        <f t="shared" si="48"/>
        <v>0.93421206621004582</v>
      </c>
      <c r="BT44" t="e">
        <f t="shared" si="48"/>
        <v>#VALUE!</v>
      </c>
      <c r="BU44" s="6">
        <f t="shared" si="48"/>
        <v>0.41855522265078371</v>
      </c>
      <c r="BV44" s="6" t="e">
        <f t="shared" si="48"/>
        <v>#VALUE!</v>
      </c>
      <c r="BW44" s="6" t="e">
        <f t="shared" si="48"/>
        <v>#VALUE!</v>
      </c>
      <c r="BX44" s="6">
        <f t="shared" si="48"/>
        <v>0.1996875186494812</v>
      </c>
      <c r="BY44" s="6">
        <f t="shared" si="48"/>
        <v>0.5631708584474886</v>
      </c>
      <c r="BZ44" s="6"/>
      <c r="CA44" s="6"/>
      <c r="CB44" s="6"/>
      <c r="CC44" s="6"/>
      <c r="CD44" s="6"/>
      <c r="CI44" s="1"/>
      <c r="CJ44" s="2" t="s">
        <v>11</v>
      </c>
      <c r="CK44">
        <f t="shared" ref="CK44:CQ44" si="57">CK33/(CK20*8.76)</f>
        <v>0.91626224885844754</v>
      </c>
      <c r="CL44" t="e">
        <f t="shared" si="57"/>
        <v>#VALUE!</v>
      </c>
      <c r="CM44" s="6">
        <f t="shared" si="57"/>
        <v>0.3417635250680186</v>
      </c>
      <c r="CN44" s="6" t="e">
        <f t="shared" si="57"/>
        <v>#VALUE!</v>
      </c>
      <c r="CO44" s="6" t="e">
        <f t="shared" si="57"/>
        <v>#VALUE!</v>
      </c>
      <c r="CP44" s="6">
        <f t="shared" si="57"/>
        <v>0.20004220499879838</v>
      </c>
      <c r="CQ44" s="6">
        <f t="shared" si="57"/>
        <v>0.5626054885844749</v>
      </c>
      <c r="CR44" s="6"/>
      <c r="CS44" s="6"/>
      <c r="CT44" s="6"/>
      <c r="CU44" s="6"/>
      <c r="CV44" s="6"/>
      <c r="CW44" s="1"/>
      <c r="CX44" s="2" t="s">
        <v>11</v>
      </c>
      <c r="CY44">
        <f t="shared" ref="CY44:DE44" si="58">CY33/(CY20*8.76)</f>
        <v>0.92837859589041094</v>
      </c>
      <c r="CZ44" t="e">
        <f t="shared" si="58"/>
        <v>#VALUE!</v>
      </c>
      <c r="DA44" s="6">
        <f t="shared" si="58"/>
        <v>0.35051568556407725</v>
      </c>
      <c r="DB44" s="6" t="e">
        <f t="shared" si="58"/>
        <v>#VALUE!</v>
      </c>
      <c r="DC44" s="6" t="e">
        <f t="shared" si="58"/>
        <v>#VALUE!</v>
      </c>
      <c r="DD44" s="6">
        <f t="shared" si="58"/>
        <v>0.19995811303372588</v>
      </c>
      <c r="DE44" s="6">
        <f t="shared" si="58"/>
        <v>0.56294444292237444</v>
      </c>
      <c r="DF44" s="6"/>
      <c r="DG44" s="6"/>
      <c r="DH44" s="6"/>
      <c r="DI44" s="6"/>
      <c r="DJ44" s="6"/>
      <c r="DK44" s="1"/>
    </row>
    <row r="45" spans="1:115">
      <c r="A45" s="1"/>
      <c r="B45" s="2" t="s">
        <v>12</v>
      </c>
      <c r="C45" t="e">
        <f t="shared" ref="C45:I45" si="59">C34/(C21*8.76)</f>
        <v>#VALUE!</v>
      </c>
      <c r="D45" t="e">
        <f t="shared" si="59"/>
        <v>#VALUE!</v>
      </c>
      <c r="E45" s="6" t="e">
        <f t="shared" si="59"/>
        <v>#DIV/0!</v>
      </c>
      <c r="F45" s="6">
        <f t="shared" si="59"/>
        <v>0.62965905631659058</v>
      </c>
      <c r="G45" s="6">
        <f t="shared" si="59"/>
        <v>0.7738982288639823</v>
      </c>
      <c r="H45" s="6" t="e">
        <f t="shared" si="59"/>
        <v>#DIV/0!</v>
      </c>
      <c r="I45" s="6" t="e">
        <f t="shared" si="59"/>
        <v>#DIV/0!</v>
      </c>
      <c r="L45" s="12">
        <f t="shared" si="52"/>
        <v>0</v>
      </c>
      <c r="S45" s="1"/>
      <c r="T45" s="2" t="s">
        <v>12</v>
      </c>
      <c r="U45" t="e">
        <f t="shared" ref="U45:AA45" si="60">U34/(U21*8.76)</f>
        <v>#VALUE!</v>
      </c>
      <c r="V45" t="e">
        <f t="shared" si="60"/>
        <v>#VALUE!</v>
      </c>
      <c r="W45" s="6" t="e">
        <f t="shared" si="60"/>
        <v>#DIV/0!</v>
      </c>
      <c r="X45" s="6">
        <f t="shared" si="60"/>
        <v>0.62965905631659058</v>
      </c>
      <c r="Y45" s="6">
        <f t="shared" si="60"/>
        <v>0.7738982288639823</v>
      </c>
      <c r="Z45" s="6" t="e">
        <f t="shared" si="60"/>
        <v>#DIV/0!</v>
      </c>
      <c r="AA45" s="6" t="e">
        <f t="shared" si="60"/>
        <v>#DIV/0!</v>
      </c>
      <c r="AB45" s="6"/>
      <c r="AC45" s="6"/>
      <c r="AD45" s="6"/>
      <c r="AE45" s="23">
        <f t="shared" si="54"/>
        <v>0</v>
      </c>
      <c r="AF45" s="6"/>
      <c r="AG45" s="6"/>
      <c r="AH45" s="6"/>
      <c r="AI45" s="6"/>
      <c r="AJ45" s="6"/>
      <c r="AK45" s="1"/>
      <c r="AL45" s="2" t="s">
        <v>12</v>
      </c>
      <c r="AM45" t="e">
        <f t="shared" ref="AM45:AS45" si="61">AM34/(AM21*8.76)</f>
        <v>#VALUE!</v>
      </c>
      <c r="AN45" t="e">
        <f t="shared" si="61"/>
        <v>#VALUE!</v>
      </c>
      <c r="AO45" s="6" t="e">
        <f t="shared" si="61"/>
        <v>#DIV/0!</v>
      </c>
      <c r="AP45" s="6">
        <f t="shared" si="61"/>
        <v>0.62965905631659058</v>
      </c>
      <c r="AQ45" s="6">
        <f t="shared" si="61"/>
        <v>0.7738982288639823</v>
      </c>
      <c r="AR45" s="6" t="e">
        <f t="shared" si="61"/>
        <v>#DIV/0!</v>
      </c>
      <c r="AS45" s="6" t="e">
        <f t="shared" si="61"/>
        <v>#DIV/0!</v>
      </c>
      <c r="AY45" s="1"/>
      <c r="AZ45" s="2" t="s">
        <v>12</v>
      </c>
      <c r="BA45" t="e">
        <f t="shared" ref="BA45:BG45" si="62">BA34/(BA21*8.76)</f>
        <v>#VALUE!</v>
      </c>
      <c r="BB45" t="e">
        <f t="shared" si="62"/>
        <v>#VALUE!</v>
      </c>
      <c r="BC45" s="6" t="e">
        <f t="shared" si="62"/>
        <v>#DIV/0!</v>
      </c>
      <c r="BD45" s="6">
        <f t="shared" si="62"/>
        <v>0.62965905631659058</v>
      </c>
      <c r="BE45" s="6">
        <f t="shared" si="62"/>
        <v>0.7738982288639823</v>
      </c>
      <c r="BF45" s="6" t="e">
        <f t="shared" si="62"/>
        <v>#DIV/0!</v>
      </c>
      <c r="BG45" s="6" t="e">
        <f t="shared" si="62"/>
        <v>#DIV/0!</v>
      </c>
      <c r="BH45" s="6"/>
      <c r="BI45" s="6"/>
      <c r="BQ45" s="1"/>
      <c r="BR45" s="2" t="s">
        <v>12</v>
      </c>
      <c r="BS45" t="e">
        <f t="shared" si="48"/>
        <v>#VALUE!</v>
      </c>
      <c r="BT45" t="e">
        <f t="shared" si="48"/>
        <v>#VALUE!</v>
      </c>
      <c r="BU45" s="6" t="e">
        <f t="shared" si="48"/>
        <v>#DIV/0!</v>
      </c>
      <c r="BV45" s="6">
        <f t="shared" si="48"/>
        <v>0.62965905631659058</v>
      </c>
      <c r="BW45" s="6">
        <f t="shared" si="48"/>
        <v>0.7738982288639823</v>
      </c>
      <c r="BX45" s="6" t="e">
        <f t="shared" si="48"/>
        <v>#DIV/0!</v>
      </c>
      <c r="BY45" s="6" t="e">
        <f t="shared" si="48"/>
        <v>#DIV/0!</v>
      </c>
      <c r="BZ45" s="6"/>
      <c r="CA45" s="6"/>
      <c r="CB45" s="6"/>
      <c r="CC45" s="6"/>
      <c r="CD45" s="6"/>
      <c r="CI45" s="1"/>
      <c r="CJ45" s="2" t="s">
        <v>12</v>
      </c>
      <c r="CK45" t="e">
        <f t="shared" ref="CK45:CQ45" si="63">CK34/(CK21*8.76)</f>
        <v>#VALUE!</v>
      </c>
      <c r="CL45" t="e">
        <f t="shared" si="63"/>
        <v>#VALUE!</v>
      </c>
      <c r="CM45" s="6" t="e">
        <f t="shared" si="63"/>
        <v>#DIV/0!</v>
      </c>
      <c r="CN45" s="6">
        <f t="shared" si="63"/>
        <v>0.62965905631659058</v>
      </c>
      <c r="CO45" s="6">
        <f t="shared" si="63"/>
        <v>0.7738982288639823</v>
      </c>
      <c r="CP45" s="6" t="e">
        <f t="shared" si="63"/>
        <v>#DIV/0!</v>
      </c>
      <c r="CQ45" s="6" t="e">
        <f t="shared" si="63"/>
        <v>#DIV/0!</v>
      </c>
      <c r="CR45" s="6"/>
      <c r="CS45" s="6"/>
      <c r="CT45" s="6"/>
      <c r="CU45" s="6"/>
      <c r="CV45" s="6"/>
      <c r="CW45" s="1"/>
      <c r="CX45" s="2" t="s">
        <v>12</v>
      </c>
      <c r="CY45" t="e">
        <f t="shared" ref="CY45:DE45" si="64">CY34/(CY21*8.76)</f>
        <v>#VALUE!</v>
      </c>
      <c r="CZ45" t="e">
        <f t="shared" si="64"/>
        <v>#VALUE!</v>
      </c>
      <c r="DA45" s="6" t="e">
        <f t="shared" si="64"/>
        <v>#DIV/0!</v>
      </c>
      <c r="DB45" s="6">
        <f t="shared" si="64"/>
        <v>0.62965905631659058</v>
      </c>
      <c r="DC45" s="6">
        <f t="shared" si="64"/>
        <v>0.7738982288639823</v>
      </c>
      <c r="DD45" s="6" t="e">
        <f t="shared" si="64"/>
        <v>#DIV/0!</v>
      </c>
      <c r="DE45" s="6" t="e">
        <f t="shared" si="64"/>
        <v>#DIV/0!</v>
      </c>
      <c r="DF45" s="6"/>
      <c r="DG45" s="6"/>
      <c r="DH45" s="6"/>
      <c r="DI45" s="6"/>
      <c r="DJ45" s="6"/>
      <c r="DK45" s="1"/>
    </row>
    <row r="46" spans="1:115">
      <c r="A46" s="1"/>
      <c r="B46" s="2" t="s">
        <v>13</v>
      </c>
      <c r="C46" s="6">
        <f t="shared" ref="C46:I46" si="65">C35/(C22*8.76)</f>
        <v>0.66111371004566211</v>
      </c>
      <c r="D46" t="e">
        <f t="shared" si="65"/>
        <v>#DIV/0!</v>
      </c>
      <c r="E46" s="6">
        <f t="shared" si="65"/>
        <v>0.17467083326552099</v>
      </c>
      <c r="F46" s="6">
        <f t="shared" si="65"/>
        <v>0.83422602487296382</v>
      </c>
      <c r="G46" s="6">
        <f t="shared" si="65"/>
        <v>0.87593286910197865</v>
      </c>
      <c r="H46" s="6">
        <f t="shared" si="65"/>
        <v>0.20043617750439255</v>
      </c>
      <c r="I46" s="6">
        <f t="shared" si="65"/>
        <v>0.51733923016268979</v>
      </c>
      <c r="L46" s="12">
        <f t="shared" si="52"/>
        <v>8.7812025701965835E-2</v>
      </c>
      <c r="S46" s="1"/>
      <c r="T46" s="2" t="s">
        <v>13</v>
      </c>
      <c r="U46" s="6">
        <f t="shared" ref="U46:AA46" si="66">U35/(U22*8.76)</f>
        <v>0.66111371004566211</v>
      </c>
      <c r="V46" t="e">
        <f t="shared" si="66"/>
        <v>#DIV/0!</v>
      </c>
      <c r="W46" s="6">
        <f t="shared" si="66"/>
        <v>0.17467083326552099</v>
      </c>
      <c r="X46" s="6">
        <f t="shared" si="66"/>
        <v>0.83422602487296382</v>
      </c>
      <c r="Y46" s="6">
        <f t="shared" si="66"/>
        <v>0.87593286910197865</v>
      </c>
      <c r="Z46" s="6">
        <f t="shared" si="66"/>
        <v>0.20047032313382027</v>
      </c>
      <c r="AA46" s="6">
        <f t="shared" si="66"/>
        <v>0.51716830120279134</v>
      </c>
      <c r="AB46" s="6"/>
      <c r="AC46" s="6"/>
      <c r="AD46" s="6"/>
      <c r="AE46" s="23">
        <f t="shared" si="54"/>
        <v>8.7812025701965821E-2</v>
      </c>
      <c r="AF46" s="6"/>
      <c r="AG46" s="6"/>
      <c r="AH46" s="6"/>
      <c r="AI46" s="6"/>
      <c r="AJ46" s="6"/>
      <c r="AK46" s="1"/>
      <c r="AL46" s="2" t="s">
        <v>13</v>
      </c>
      <c r="AM46" s="6">
        <f t="shared" ref="AM46:AS46" si="67">AM35/(AM22*8.76)</f>
        <v>0.66111371004566211</v>
      </c>
      <c r="AN46" t="e">
        <f t="shared" si="67"/>
        <v>#DIV/0!</v>
      </c>
      <c r="AO46" s="6">
        <f t="shared" si="67"/>
        <v>0.17467083326552099</v>
      </c>
      <c r="AP46" s="6">
        <f t="shared" si="67"/>
        <v>0.83422602487296382</v>
      </c>
      <c r="AQ46" s="6">
        <f t="shared" si="67"/>
        <v>0.87593286910197865</v>
      </c>
      <c r="AR46" s="6">
        <f t="shared" si="67"/>
        <v>0.20044546678241007</v>
      </c>
      <c r="AS46" s="6">
        <f t="shared" si="67"/>
        <v>0.51729272914172897</v>
      </c>
      <c r="AY46" s="1"/>
      <c r="AZ46" s="2" t="s">
        <v>13</v>
      </c>
      <c r="BA46" s="6">
        <f t="shared" ref="BA46:BG46" si="68">BA35/(BA22*8.76)</f>
        <v>0.64946889269406405</v>
      </c>
      <c r="BB46" t="e">
        <f t="shared" si="68"/>
        <v>#DIV/0!</v>
      </c>
      <c r="BC46" s="6">
        <f t="shared" si="68"/>
        <v>0.16368945315367742</v>
      </c>
      <c r="BD46" s="6">
        <f t="shared" si="68"/>
        <v>0.81796057372720787</v>
      </c>
      <c r="BE46" s="6">
        <f t="shared" si="68"/>
        <v>0.80909894216133937</v>
      </c>
      <c r="BF46" s="6">
        <f t="shared" si="68"/>
        <v>0.20003075743519372</v>
      </c>
      <c r="BG46" s="6">
        <f t="shared" si="68"/>
        <v>0.51653142490589998</v>
      </c>
      <c r="BH46" s="6"/>
      <c r="BI46" s="6"/>
      <c r="BQ46" s="1"/>
      <c r="BR46" s="2" t="s">
        <v>13</v>
      </c>
      <c r="BS46" s="6">
        <f t="shared" si="48"/>
        <v>0.7630240410958905</v>
      </c>
      <c r="BT46" t="e">
        <f t="shared" si="48"/>
        <v>#DIV/0!</v>
      </c>
      <c r="BU46" s="6">
        <f t="shared" si="48"/>
        <v>0.23159212073181265</v>
      </c>
      <c r="BV46" s="6">
        <f t="shared" si="48"/>
        <v>0.8576222420091324</v>
      </c>
      <c r="BW46" s="6">
        <f t="shared" si="48"/>
        <v>0.92051426179604257</v>
      </c>
      <c r="BX46" s="6">
        <f t="shared" si="48"/>
        <v>0.2015590377234012</v>
      </c>
      <c r="BY46" s="6">
        <f t="shared" si="48"/>
        <v>0.51859751318159641</v>
      </c>
      <c r="BZ46" s="6"/>
      <c r="CA46" s="6"/>
      <c r="CB46" s="6"/>
      <c r="CC46" s="6"/>
      <c r="CD46" s="6"/>
      <c r="CI46" s="1"/>
      <c r="CJ46" s="2" t="s">
        <v>13</v>
      </c>
      <c r="CK46" s="6">
        <f t="shared" ref="CK46:CQ46" si="69">CK35/(CK22*8.76)</f>
        <v>0.64946889269406405</v>
      </c>
      <c r="CL46" t="e">
        <f t="shared" si="69"/>
        <v>#DIV/0!</v>
      </c>
      <c r="CM46" s="6">
        <f t="shared" si="69"/>
        <v>0.16368945315367742</v>
      </c>
      <c r="CN46" s="6">
        <f t="shared" si="69"/>
        <v>0.81796057372720787</v>
      </c>
      <c r="CO46" s="6">
        <f t="shared" si="69"/>
        <v>0.80909894216133937</v>
      </c>
      <c r="CP46" s="6">
        <f t="shared" si="69"/>
        <v>0.20002475698447761</v>
      </c>
      <c r="CQ46" s="6">
        <f t="shared" si="69"/>
        <v>0.5165818409950842</v>
      </c>
      <c r="CR46" s="6"/>
      <c r="CS46" s="6"/>
      <c r="CT46" s="6"/>
      <c r="CU46" s="6"/>
      <c r="CV46" s="6"/>
      <c r="CW46" s="1"/>
      <c r="CX46" s="2" t="s">
        <v>13</v>
      </c>
      <c r="CY46" s="6">
        <f t="shared" ref="CY46:DE46" si="70">CY35/(CY22*8.76)</f>
        <v>0.53634776255707761</v>
      </c>
      <c r="CZ46" t="e">
        <f t="shared" si="70"/>
        <v>#DIV/0!</v>
      </c>
      <c r="DA46" s="6">
        <f t="shared" si="70"/>
        <v>0.1352908183517135</v>
      </c>
      <c r="DB46" s="6">
        <f t="shared" si="70"/>
        <v>0.79537838971204922</v>
      </c>
      <c r="DC46" s="6">
        <f t="shared" si="70"/>
        <v>0.76611941400304417</v>
      </c>
      <c r="DD46" s="6">
        <f t="shared" si="70"/>
        <v>0.19949014172801835</v>
      </c>
      <c r="DE46" s="6">
        <f t="shared" si="70"/>
        <v>0.51550759637643639</v>
      </c>
      <c r="DF46" s="6"/>
      <c r="DG46" s="6"/>
      <c r="DH46" s="6"/>
      <c r="DI46" s="6"/>
      <c r="DJ46" s="6"/>
      <c r="DK46" s="1"/>
    </row>
    <row r="47" spans="1:115">
      <c r="A47" s="1"/>
      <c r="B47" s="2" t="s">
        <v>14</v>
      </c>
      <c r="C47" s="6" t="e">
        <f t="shared" ref="C47:I47" si="71">C36/(C23*8.76)</f>
        <v>#VALUE!</v>
      </c>
      <c r="D47" t="e">
        <f t="shared" si="71"/>
        <v>#VALUE!</v>
      </c>
      <c r="E47" s="6">
        <f t="shared" si="71"/>
        <v>0.32349057951457738</v>
      </c>
      <c r="F47" s="6">
        <f t="shared" si="71"/>
        <v>0.84825814523596288</v>
      </c>
      <c r="G47" s="6" t="e">
        <f t="shared" si="71"/>
        <v>#DIV/0!</v>
      </c>
      <c r="H47" s="6">
        <f t="shared" si="71"/>
        <v>0.19314757982753028</v>
      </c>
      <c r="I47" s="6">
        <f t="shared" si="71"/>
        <v>0.54328398895764907</v>
      </c>
      <c r="L47" s="12">
        <f t="shared" si="52"/>
        <v>0.20137275806080113</v>
      </c>
      <c r="S47" s="1"/>
      <c r="T47" s="2" t="s">
        <v>14</v>
      </c>
      <c r="U47" s="6" t="e">
        <f t="shared" ref="U47:AA47" si="72">U36/(U23*8.76)</f>
        <v>#VALUE!</v>
      </c>
      <c r="V47" t="e">
        <f t="shared" si="72"/>
        <v>#VALUE!</v>
      </c>
      <c r="W47" s="6">
        <f t="shared" si="72"/>
        <v>0.32349057951457738</v>
      </c>
      <c r="X47" s="6">
        <f t="shared" si="72"/>
        <v>0.84825814523596288</v>
      </c>
      <c r="Y47" s="6" t="e">
        <f t="shared" si="72"/>
        <v>#DIV/0!</v>
      </c>
      <c r="Z47" s="6">
        <f t="shared" si="72"/>
        <v>0.19312631439559982</v>
      </c>
      <c r="AA47" s="6">
        <f t="shared" si="72"/>
        <v>0.5433020535619606</v>
      </c>
      <c r="AB47" s="6"/>
      <c r="AC47" s="6"/>
      <c r="AD47" s="6"/>
      <c r="AE47" s="23">
        <f t="shared" si="54"/>
        <v>0.20137275882352274</v>
      </c>
      <c r="AF47" s="6"/>
      <c r="AG47" s="6"/>
      <c r="AH47" s="6"/>
      <c r="AI47" s="6"/>
      <c r="AJ47" s="6"/>
      <c r="AK47" s="1"/>
      <c r="AL47" s="2" t="s">
        <v>14</v>
      </c>
      <c r="AM47" s="6" t="e">
        <f t="shared" ref="AM47:AS47" si="73">AM36/(AM23*8.76)</f>
        <v>#VALUE!</v>
      </c>
      <c r="AN47" t="e">
        <f t="shared" si="73"/>
        <v>#VALUE!</v>
      </c>
      <c r="AO47" s="6">
        <f t="shared" si="73"/>
        <v>0.30303254019100034</v>
      </c>
      <c r="AP47" s="6">
        <f t="shared" si="73"/>
        <v>0.84663296078999462</v>
      </c>
      <c r="AQ47" s="6" t="e">
        <f t="shared" si="73"/>
        <v>#DIV/0!</v>
      </c>
      <c r="AR47" s="6">
        <f t="shared" si="73"/>
        <v>0.19337632906765012</v>
      </c>
      <c r="AS47" s="6">
        <f t="shared" si="73"/>
        <v>0.54386309047520698</v>
      </c>
      <c r="AY47" s="1"/>
      <c r="AZ47" s="2" t="s">
        <v>14</v>
      </c>
      <c r="BA47" s="6" t="e">
        <f t="shared" ref="BA47:BG47" si="74">BA36/(BA23*8.76)</f>
        <v>#VALUE!</v>
      </c>
      <c r="BB47" t="e">
        <f t="shared" si="74"/>
        <v>#VALUE!</v>
      </c>
      <c r="BC47" s="6">
        <f t="shared" si="74"/>
        <v>0.33808358538818134</v>
      </c>
      <c r="BD47" s="6" t="e">
        <f t="shared" si="74"/>
        <v>#DIV/0!</v>
      </c>
      <c r="BE47" s="6" t="e">
        <f t="shared" si="74"/>
        <v>#DIV/0!</v>
      </c>
      <c r="BF47" s="6">
        <f t="shared" si="74"/>
        <v>0.19272064454378263</v>
      </c>
      <c r="BG47" s="6">
        <f t="shared" si="74"/>
        <v>0.54284696405744237</v>
      </c>
      <c r="BH47" s="6"/>
      <c r="BI47" s="6"/>
      <c r="BQ47" s="1"/>
      <c r="BR47" s="2" t="s">
        <v>14</v>
      </c>
      <c r="BS47" s="6" t="e">
        <f t="shared" si="48"/>
        <v>#VALUE!</v>
      </c>
      <c r="BT47" t="e">
        <f t="shared" si="48"/>
        <v>#VALUE!</v>
      </c>
      <c r="BU47" s="6">
        <f t="shared" si="48"/>
        <v>0.29254835438546573</v>
      </c>
      <c r="BV47" s="6">
        <f t="shared" si="48"/>
        <v>0.85349173827393476</v>
      </c>
      <c r="BW47" s="6" t="e">
        <f t="shared" si="48"/>
        <v>#DIV/0!</v>
      </c>
      <c r="BX47" s="6">
        <f t="shared" si="48"/>
        <v>0.19467294196235577</v>
      </c>
      <c r="BY47" s="6">
        <f t="shared" si="48"/>
        <v>0.54761639191227063</v>
      </c>
      <c r="BZ47" s="6"/>
      <c r="CA47" s="6"/>
      <c r="CB47" s="6"/>
      <c r="CC47" s="6"/>
      <c r="CD47" s="6"/>
      <c r="CI47" s="1"/>
      <c r="CJ47" s="2" t="s">
        <v>14</v>
      </c>
      <c r="CK47" s="6" t="e">
        <f t="shared" ref="CK47:CQ47" si="75">CK36/(CK23*8.76)</f>
        <v>#VALUE!</v>
      </c>
      <c r="CL47" t="e">
        <f t="shared" si="75"/>
        <v>#VALUE!</v>
      </c>
      <c r="CM47" s="6">
        <f t="shared" si="75"/>
        <v>0.33808358538818134</v>
      </c>
      <c r="CN47" s="6" t="e">
        <f t="shared" si="75"/>
        <v>#DIV/0!</v>
      </c>
      <c r="CO47" s="6" t="e">
        <f t="shared" si="75"/>
        <v>#DIV/0!</v>
      </c>
      <c r="CP47" s="6">
        <f t="shared" si="75"/>
        <v>0.19278344674468373</v>
      </c>
      <c r="CQ47" s="6">
        <f t="shared" si="75"/>
        <v>0.54278670531557738</v>
      </c>
      <c r="CR47" s="6"/>
      <c r="CS47" s="6"/>
      <c r="CT47" s="6"/>
      <c r="CU47" s="6"/>
      <c r="CV47" s="6"/>
      <c r="CW47" s="1"/>
      <c r="CX47" s="2" t="s">
        <v>14</v>
      </c>
      <c r="CY47" s="6" t="e">
        <f t="shared" ref="CY47:DE47" si="76">CY36/(CY23*8.76)</f>
        <v>#VALUE!</v>
      </c>
      <c r="CZ47" t="e">
        <f t="shared" si="76"/>
        <v>#VALUE!</v>
      </c>
      <c r="DA47" s="6">
        <f t="shared" si="76"/>
        <v>0.33735836184883211</v>
      </c>
      <c r="DB47" s="6" t="e">
        <f t="shared" si="76"/>
        <v>#DIV/0!</v>
      </c>
      <c r="DC47" s="6" t="e">
        <f t="shared" si="76"/>
        <v>#DIV/0!</v>
      </c>
      <c r="DD47" s="6">
        <f t="shared" si="76"/>
        <v>0.1927277366399209</v>
      </c>
      <c r="DE47" s="6">
        <f t="shared" si="76"/>
        <v>0.54286187277588804</v>
      </c>
      <c r="DF47" s="6"/>
      <c r="DG47" s="6"/>
      <c r="DH47" s="6"/>
      <c r="DI47" s="6"/>
      <c r="DJ47" s="6"/>
      <c r="DK47" s="1"/>
    </row>
    <row r="48" spans="1:115">
      <c r="A48" s="1"/>
      <c r="B48" s="2" t="s">
        <v>15</v>
      </c>
      <c r="C48" s="6" t="e">
        <f t="shared" ref="C48:I48" si="77">C37/(C24*8.76)</f>
        <v>#VALUE!</v>
      </c>
      <c r="D48" t="e">
        <f t="shared" si="77"/>
        <v>#VALUE!</v>
      </c>
      <c r="E48" s="6">
        <f t="shared" si="77"/>
        <v>0.25376994717591089</v>
      </c>
      <c r="F48" s="6">
        <f t="shared" si="77"/>
        <v>0.85738029811941374</v>
      </c>
      <c r="G48" s="6" t="e">
        <f t="shared" si="77"/>
        <v>#VALUE!</v>
      </c>
      <c r="H48" s="6">
        <f t="shared" si="77"/>
        <v>0.19969832103164137</v>
      </c>
      <c r="I48" s="6">
        <f t="shared" si="77"/>
        <v>0.56421217405947843</v>
      </c>
      <c r="L48" s="12">
        <f t="shared" si="52"/>
        <v>0.14347320480720444</v>
      </c>
      <c r="S48" s="1"/>
      <c r="T48" s="2" t="s">
        <v>15</v>
      </c>
      <c r="U48" s="6" t="e">
        <f t="shared" ref="U48:AA48" si="78">U37/(U24*8.76)</f>
        <v>#VALUE!</v>
      </c>
      <c r="V48" t="e">
        <f t="shared" si="78"/>
        <v>#VALUE!</v>
      </c>
      <c r="W48" s="6">
        <f t="shared" si="78"/>
        <v>0.25376994717591089</v>
      </c>
      <c r="X48" s="6">
        <f t="shared" si="78"/>
        <v>0.85738029811941374</v>
      </c>
      <c r="Y48" s="6" t="e">
        <f t="shared" si="78"/>
        <v>#VALUE!</v>
      </c>
      <c r="Z48" s="6">
        <f t="shared" si="78"/>
        <v>0.1996869411885861</v>
      </c>
      <c r="AA48" s="6">
        <f t="shared" si="78"/>
        <v>0.56425784975199178</v>
      </c>
      <c r="AB48" s="6"/>
      <c r="AC48" s="6"/>
      <c r="AD48" s="6"/>
      <c r="AE48" s="23">
        <f t="shared" si="54"/>
        <v>0.14347320480720446</v>
      </c>
      <c r="AF48" s="6"/>
      <c r="AG48" s="6"/>
      <c r="AH48" s="6"/>
      <c r="AI48" s="6"/>
      <c r="AJ48" s="6"/>
      <c r="AK48" s="1"/>
      <c r="AL48" s="2" t="s">
        <v>15</v>
      </c>
      <c r="AM48" s="6" t="e">
        <f t="shared" ref="AM48:AS48" si="79">AM37/(AM24*8.76)</f>
        <v>#VALUE!</v>
      </c>
      <c r="AN48" t="e">
        <f t="shared" si="79"/>
        <v>#VALUE!</v>
      </c>
      <c r="AO48" s="6">
        <f t="shared" si="79"/>
        <v>0.25359443873561366</v>
      </c>
      <c r="AP48" s="6">
        <f t="shared" si="79"/>
        <v>0.85814250077830623</v>
      </c>
      <c r="AQ48" s="6" t="e">
        <f t="shared" si="79"/>
        <v>#VALUE!</v>
      </c>
      <c r="AR48" s="6">
        <f t="shared" si="79"/>
        <v>0.19978754616569813</v>
      </c>
      <c r="AS48" s="6">
        <f t="shared" si="79"/>
        <v>0.5643693140086562</v>
      </c>
      <c r="AY48" s="1"/>
      <c r="AZ48" s="2" t="s">
        <v>15</v>
      </c>
      <c r="BA48" s="6" t="e">
        <f t="shared" ref="BA48:BG48" si="80">BA37/(BA24*8.76)</f>
        <v>#VALUE!</v>
      </c>
      <c r="BB48" t="e">
        <f t="shared" si="80"/>
        <v>#VALUE!</v>
      </c>
      <c r="BC48" s="6">
        <f t="shared" si="80"/>
        <v>0.26703127354857936</v>
      </c>
      <c r="BD48" s="6">
        <f t="shared" si="80"/>
        <v>0.85231523030316336</v>
      </c>
      <c r="BE48" s="6" t="e">
        <f t="shared" si="80"/>
        <v>#VALUE!</v>
      </c>
      <c r="BF48" s="6">
        <f t="shared" si="80"/>
        <v>0.19920763198272948</v>
      </c>
      <c r="BG48" s="6">
        <f t="shared" si="80"/>
        <v>0.56301582374702164</v>
      </c>
      <c r="BH48" s="6"/>
      <c r="BI48" s="6"/>
      <c r="BQ48" s="1"/>
      <c r="BR48" s="2" t="s">
        <v>15</v>
      </c>
      <c r="BS48" s="6" t="e">
        <f t="shared" si="48"/>
        <v>#VALUE!</v>
      </c>
      <c r="BT48" t="e">
        <f t="shared" si="48"/>
        <v>#VALUE!</v>
      </c>
      <c r="BU48" s="6">
        <f t="shared" si="48"/>
        <v>0.25506383994392573</v>
      </c>
      <c r="BV48" s="6">
        <f t="shared" si="48"/>
        <v>0.86311212086177003</v>
      </c>
      <c r="BW48" s="6" t="e">
        <f t="shared" si="48"/>
        <v>#VALUE!</v>
      </c>
      <c r="BX48" s="6">
        <f t="shared" si="48"/>
        <v>0.20077915635236376</v>
      </c>
      <c r="BY48" s="6">
        <f t="shared" si="48"/>
        <v>0.56541515305186574</v>
      </c>
      <c r="BZ48" s="6"/>
      <c r="CA48" s="6"/>
      <c r="CB48" s="6"/>
      <c r="CC48" s="6"/>
      <c r="CD48" s="6"/>
      <c r="CI48" s="1"/>
      <c r="CJ48" s="2" t="s">
        <v>15</v>
      </c>
      <c r="CK48" s="6" t="e">
        <f t="shared" ref="CK48:CQ48" si="81">CK37/(CK24*8.76)</f>
        <v>#VALUE!</v>
      </c>
      <c r="CL48" t="e">
        <f t="shared" si="81"/>
        <v>#VALUE!</v>
      </c>
      <c r="CM48" s="6">
        <f t="shared" si="81"/>
        <v>0.26703127354857936</v>
      </c>
      <c r="CN48" s="6">
        <f t="shared" si="81"/>
        <v>0.85231523030316336</v>
      </c>
      <c r="CO48" s="6" t="e">
        <f t="shared" si="81"/>
        <v>#VALUE!</v>
      </c>
      <c r="CP48" s="6">
        <f t="shared" si="81"/>
        <v>0.19920829341684684</v>
      </c>
      <c r="CQ48" s="6">
        <f t="shared" si="81"/>
        <v>0.56301224044779674</v>
      </c>
      <c r="CR48" s="6"/>
      <c r="CS48" s="6"/>
      <c r="CT48" s="6"/>
      <c r="CU48" s="6"/>
      <c r="CV48" s="6"/>
      <c r="CW48" s="1"/>
      <c r="CX48" s="2" t="s">
        <v>15</v>
      </c>
      <c r="CY48" s="6" t="e">
        <f t="shared" ref="CY48:DE48" si="82">CY37/(CY24*8.76)</f>
        <v>#VALUE!</v>
      </c>
      <c r="CZ48" t="e">
        <f t="shared" si="82"/>
        <v>#VALUE!</v>
      </c>
      <c r="DA48" s="6">
        <f t="shared" si="82"/>
        <v>0.24707061348349657</v>
      </c>
      <c r="DB48" s="6" t="e">
        <f t="shared" si="82"/>
        <v>#DIV/0!</v>
      </c>
      <c r="DC48" s="6" t="e">
        <f t="shared" si="82"/>
        <v>#VALUE!</v>
      </c>
      <c r="DD48" s="6">
        <f t="shared" si="82"/>
        <v>0.1982349310751183</v>
      </c>
      <c r="DE48" s="6">
        <f t="shared" si="82"/>
        <v>0.56155747823848678</v>
      </c>
      <c r="DF48" s="6"/>
      <c r="DG48" s="6"/>
      <c r="DH48" s="6"/>
      <c r="DI48" s="6"/>
      <c r="DJ48" s="6"/>
      <c r="DK48" s="1"/>
    </row>
    <row r="49" spans="1:115">
      <c r="A49" s="1"/>
      <c r="B49" s="2" t="s">
        <v>16</v>
      </c>
      <c r="C49" s="6" t="e">
        <f t="shared" ref="C49:I49" si="83">C38/(C25*8.76)</f>
        <v>#VALUE!</v>
      </c>
      <c r="D49" t="e">
        <f t="shared" si="83"/>
        <v>#VALUE!</v>
      </c>
      <c r="E49" s="6">
        <f t="shared" si="83"/>
        <v>9.0535518724870243E-2</v>
      </c>
      <c r="F49" s="6">
        <f t="shared" si="83"/>
        <v>0.82361666666666666</v>
      </c>
      <c r="G49" s="6" t="e">
        <f t="shared" si="83"/>
        <v>#VALUE!</v>
      </c>
      <c r="H49" s="6">
        <f t="shared" si="83"/>
        <v>0.20170346560316718</v>
      </c>
      <c r="I49" s="6">
        <f t="shared" si="83"/>
        <v>0.5060369851093609</v>
      </c>
      <c r="L49" s="12">
        <f t="shared" si="52"/>
        <v>2.2917331303867645E-2</v>
      </c>
      <c r="S49" s="1"/>
      <c r="T49" s="2" t="s">
        <v>16</v>
      </c>
      <c r="U49" s="6" t="e">
        <f t="shared" ref="U49:AA49" si="84">U38/(U25*8.76)</f>
        <v>#VALUE!</v>
      </c>
      <c r="V49" t="e">
        <f t="shared" si="84"/>
        <v>#VALUE!</v>
      </c>
      <c r="W49" s="6">
        <f t="shared" si="84"/>
        <v>9.0535518724870243E-2</v>
      </c>
      <c r="X49" s="6">
        <f t="shared" si="84"/>
        <v>0.82361666666666666</v>
      </c>
      <c r="Y49" s="6" t="e">
        <f t="shared" si="84"/>
        <v>#VALUE!</v>
      </c>
      <c r="Z49" s="6">
        <f t="shared" si="84"/>
        <v>0.20170669754215814</v>
      </c>
      <c r="AA49" s="6">
        <f t="shared" si="84"/>
        <v>0.5060253684742142</v>
      </c>
      <c r="AB49" s="6"/>
      <c r="AC49" s="6"/>
      <c r="AD49" s="6"/>
      <c r="AE49" s="23">
        <f t="shared" si="54"/>
        <v>2.2917331303867645E-2</v>
      </c>
      <c r="AF49" s="6"/>
      <c r="AG49" s="6"/>
      <c r="AH49" s="6"/>
      <c r="AI49" s="6"/>
      <c r="AJ49" s="6"/>
      <c r="AK49" s="1"/>
      <c r="AL49" s="2" t="s">
        <v>16</v>
      </c>
      <c r="AM49" s="6" t="e">
        <f t="shared" ref="AM49:AS49" si="85">AM38/(AM25*8.76)</f>
        <v>#VALUE!</v>
      </c>
      <c r="AN49" t="e">
        <f t="shared" si="85"/>
        <v>#VALUE!</v>
      </c>
      <c r="AO49" s="6">
        <f t="shared" si="85"/>
        <v>0.10693225035877674</v>
      </c>
      <c r="AP49" s="6">
        <f t="shared" si="85"/>
        <v>0.8300984779299847</v>
      </c>
      <c r="AQ49" s="6" t="e">
        <f t="shared" si="85"/>
        <v>#VALUE!</v>
      </c>
      <c r="AR49" s="6">
        <f t="shared" si="85"/>
        <v>0.20188400946595825</v>
      </c>
      <c r="AS49" s="6">
        <f t="shared" si="85"/>
        <v>0.50623232187638667</v>
      </c>
      <c r="AY49" s="1"/>
      <c r="AZ49" s="2" t="s">
        <v>16</v>
      </c>
      <c r="BA49" s="6" t="e">
        <f t="shared" ref="BA49:BG49" si="86">BA38/(BA25*8.76)</f>
        <v>#VALUE!</v>
      </c>
      <c r="BB49" t="e">
        <f t="shared" si="86"/>
        <v>#VALUE!</v>
      </c>
      <c r="BC49" s="6">
        <f t="shared" si="86"/>
        <v>8.9666023148452081E-2</v>
      </c>
      <c r="BD49" s="6">
        <f t="shared" si="86"/>
        <v>0.82316529680365291</v>
      </c>
      <c r="BE49" s="6" t="e">
        <f t="shared" si="86"/>
        <v>#VALUE!</v>
      </c>
      <c r="BF49" s="6">
        <f t="shared" si="86"/>
        <v>0.20170944529895687</v>
      </c>
      <c r="BG49" s="6">
        <f t="shared" si="86"/>
        <v>0.50594229964420945</v>
      </c>
      <c r="BH49" s="6"/>
      <c r="BI49" s="6"/>
      <c r="BQ49" s="1"/>
      <c r="BR49" s="2" t="s">
        <v>16</v>
      </c>
      <c r="BS49" s="6" t="e">
        <f t="shared" si="48"/>
        <v>#VALUE!</v>
      </c>
      <c r="BT49" t="e">
        <f t="shared" si="48"/>
        <v>#VALUE!</v>
      </c>
      <c r="BU49" s="6">
        <f t="shared" si="48"/>
        <v>9.0535518724870243E-2</v>
      </c>
      <c r="BV49" s="6">
        <f t="shared" si="48"/>
        <v>0.82361666666666666</v>
      </c>
      <c r="BW49" s="6" t="e">
        <f t="shared" si="48"/>
        <v>#VALUE!</v>
      </c>
      <c r="BX49" s="6">
        <f t="shared" si="48"/>
        <v>0.20169680385136951</v>
      </c>
      <c r="BY49" s="6">
        <f t="shared" si="48"/>
        <v>0.50606092960221427</v>
      </c>
      <c r="BZ49" s="6"/>
      <c r="CA49" s="6"/>
      <c r="CB49" s="6"/>
      <c r="CC49" s="6"/>
      <c r="CD49" s="6"/>
      <c r="CI49" s="1"/>
      <c r="CJ49" s="2" t="s">
        <v>16</v>
      </c>
      <c r="CK49" s="6" t="e">
        <f t="shared" ref="CK49:CQ49" si="87">CK38/(CK25*8.76)</f>
        <v>#VALUE!</v>
      </c>
      <c r="CL49" t="e">
        <f t="shared" si="87"/>
        <v>#VALUE!</v>
      </c>
      <c r="CM49" s="6">
        <f t="shared" si="87"/>
        <v>8.9666023148452081E-2</v>
      </c>
      <c r="CN49" s="6">
        <f t="shared" si="87"/>
        <v>0.82316529680365291</v>
      </c>
      <c r="CO49" s="6" t="e">
        <f t="shared" si="87"/>
        <v>#VALUE!</v>
      </c>
      <c r="CP49" s="6">
        <f t="shared" si="87"/>
        <v>0.2017200931164311</v>
      </c>
      <c r="CQ49" s="6">
        <f t="shared" si="87"/>
        <v>0.50590332370986424</v>
      </c>
      <c r="CR49" s="6"/>
      <c r="CS49" s="6"/>
      <c r="CT49" s="6"/>
      <c r="CU49" s="6"/>
      <c r="CV49" s="6"/>
      <c r="CW49" s="1"/>
      <c r="CX49" s="2" t="s">
        <v>16</v>
      </c>
      <c r="CY49" s="6" t="e">
        <f t="shared" ref="CY49:DE49" si="88">CY38/(CY25*8.76)</f>
        <v>#VALUE!</v>
      </c>
      <c r="CZ49" t="e">
        <f t="shared" si="88"/>
        <v>#VALUE!</v>
      </c>
      <c r="DA49" s="6">
        <f t="shared" si="88"/>
        <v>9.040671534581704E-2</v>
      </c>
      <c r="DB49" s="6">
        <f t="shared" si="88"/>
        <v>0.82423226788432269</v>
      </c>
      <c r="DC49" s="6" t="e">
        <f t="shared" si="88"/>
        <v>#VALUE!</v>
      </c>
      <c r="DD49" s="6">
        <f t="shared" si="88"/>
        <v>0.20184823074795055</v>
      </c>
      <c r="DE49" s="6">
        <f t="shared" si="88"/>
        <v>0.50610151364391087</v>
      </c>
      <c r="DF49" s="6"/>
      <c r="DG49" s="6"/>
      <c r="DH49" s="6"/>
      <c r="DI49" s="6"/>
      <c r="DJ49" s="6"/>
      <c r="DK49" s="1"/>
    </row>
    <row r="50" spans="1:115">
      <c r="A50" s="1"/>
      <c r="B50" s="2" t="s">
        <v>17</v>
      </c>
      <c r="C50" s="6">
        <f t="shared" ref="C50:I50" si="89">C39/(C26*8.76)</f>
        <v>0.75012204961065887</v>
      </c>
      <c r="D50" t="e">
        <f t="shared" si="89"/>
        <v>#VALUE!</v>
      </c>
      <c r="E50" s="6">
        <f t="shared" si="89"/>
        <v>0.14428178492352378</v>
      </c>
      <c r="F50" s="6">
        <f t="shared" si="89"/>
        <v>0.87282927509642838</v>
      </c>
      <c r="G50" s="6" t="e">
        <f t="shared" si="89"/>
        <v>#VALUE!</v>
      </c>
      <c r="H50" s="6">
        <f t="shared" si="89"/>
        <v>0.20095685595875953</v>
      </c>
      <c r="I50" s="6">
        <f t="shared" si="89"/>
        <v>0.56077284005849681</v>
      </c>
      <c r="L50" s="12">
        <f t="shared" si="52"/>
        <v>7.7479002080805867E-2</v>
      </c>
      <c r="S50" s="1"/>
      <c r="T50" s="2" t="s">
        <v>17</v>
      </c>
      <c r="U50" s="6">
        <f t="shared" ref="U50:AA50" si="90">U39/(U26*8.76)</f>
        <v>0.75012204961065887</v>
      </c>
      <c r="V50" t="e">
        <f t="shared" si="90"/>
        <v>#VALUE!</v>
      </c>
      <c r="W50" s="6">
        <f t="shared" si="90"/>
        <v>0.14428178492352378</v>
      </c>
      <c r="X50" s="6">
        <f t="shared" si="90"/>
        <v>0.87282927509642838</v>
      </c>
      <c r="Y50" s="6" t="e">
        <f t="shared" si="90"/>
        <v>#VALUE!</v>
      </c>
      <c r="Z50" s="6">
        <f t="shared" si="90"/>
        <v>0.2009531043863759</v>
      </c>
      <c r="AA50" s="6">
        <f t="shared" si="90"/>
        <v>0.56078344281473791</v>
      </c>
      <c r="AB50" s="6"/>
      <c r="AC50" s="6"/>
      <c r="AD50" s="6"/>
      <c r="AE50" s="23">
        <f t="shared" si="54"/>
        <v>7.7479002080805867E-2</v>
      </c>
      <c r="AF50" s="6"/>
      <c r="AG50" s="6"/>
      <c r="AH50" s="6"/>
      <c r="AI50" s="6"/>
      <c r="AJ50" s="6"/>
      <c r="AK50" s="1"/>
      <c r="AL50" s="2" t="s">
        <v>17</v>
      </c>
      <c r="AM50" s="6">
        <f t="shared" ref="AM50:AS50" si="91">AM39/(AM26*8.76)</f>
        <v>0.75012204961065887</v>
      </c>
      <c r="AN50" t="e">
        <f t="shared" si="91"/>
        <v>#VALUE!</v>
      </c>
      <c r="AO50" s="6">
        <f t="shared" si="91"/>
        <v>0.14428178492352378</v>
      </c>
      <c r="AP50" s="6">
        <f t="shared" si="91"/>
        <v>0.87282927509642838</v>
      </c>
      <c r="AQ50" s="6" t="e">
        <f t="shared" si="91"/>
        <v>#VALUE!</v>
      </c>
      <c r="AR50" s="6">
        <f t="shared" si="91"/>
        <v>0.20095617261829715</v>
      </c>
      <c r="AS50" s="6">
        <f t="shared" si="91"/>
        <v>0.56077477132667219</v>
      </c>
      <c r="AY50" s="1"/>
      <c r="AZ50" s="2" t="s">
        <v>17</v>
      </c>
      <c r="BA50" s="6">
        <f t="shared" ref="BA50:BG50" si="92">BA39/(BA26*8.76)</f>
        <v>0.70588206163280609</v>
      </c>
      <c r="BB50" t="e">
        <f t="shared" si="92"/>
        <v>#VALUE!</v>
      </c>
      <c r="BC50" s="6">
        <f t="shared" si="92"/>
        <v>0.11832458705960709</v>
      </c>
      <c r="BD50" s="6" t="e">
        <f t="shared" si="92"/>
        <v>#DIV/0!</v>
      </c>
      <c r="BE50" s="6" t="e">
        <f t="shared" si="92"/>
        <v>#VALUE!</v>
      </c>
      <c r="BF50" s="6">
        <f t="shared" si="92"/>
        <v>0.20045955067887353</v>
      </c>
      <c r="BG50" s="6">
        <f t="shared" si="92"/>
        <v>0.56033728737374933</v>
      </c>
      <c r="BH50" s="6"/>
      <c r="BI50" s="6"/>
      <c r="BQ50" s="1"/>
      <c r="BR50" s="2" t="s">
        <v>17</v>
      </c>
      <c r="BS50" s="6">
        <f t="shared" si="48"/>
        <v>0.70842674210839796</v>
      </c>
      <c r="BT50" t="e">
        <f t="shared" si="48"/>
        <v>#VALUE!</v>
      </c>
      <c r="BU50" s="6">
        <f t="shared" si="48"/>
        <v>0.14480778416666498</v>
      </c>
      <c r="BV50" s="6">
        <f t="shared" si="48"/>
        <v>0.87620837851705236</v>
      </c>
      <c r="BW50" s="6" t="e">
        <f t="shared" si="48"/>
        <v>#VALUE!</v>
      </c>
      <c r="BX50" s="6">
        <f t="shared" si="48"/>
        <v>0.20185856100671262</v>
      </c>
      <c r="BY50" s="6">
        <f t="shared" si="48"/>
        <v>0.56142129281079889</v>
      </c>
      <c r="BZ50" s="6"/>
      <c r="CA50" s="6"/>
      <c r="CB50" s="6"/>
      <c r="CC50" s="6"/>
      <c r="CD50" s="6"/>
      <c r="CI50" s="1"/>
      <c r="CJ50" s="2" t="s">
        <v>17</v>
      </c>
      <c r="CK50" s="6">
        <f t="shared" ref="CK50:CQ50" si="93">CK39/(CK26*8.76)</f>
        <v>0.70588206163280609</v>
      </c>
      <c r="CL50" t="e">
        <f t="shared" si="93"/>
        <v>#VALUE!</v>
      </c>
      <c r="CM50" s="6">
        <f t="shared" si="93"/>
        <v>0.11832458705960709</v>
      </c>
      <c r="CN50" s="6" t="e">
        <f t="shared" si="93"/>
        <v>#DIV/0!</v>
      </c>
      <c r="CO50" s="6" t="e">
        <f t="shared" si="93"/>
        <v>#VALUE!</v>
      </c>
      <c r="CP50" s="6">
        <f t="shared" si="93"/>
        <v>0.20048461072298066</v>
      </c>
      <c r="CQ50" s="6">
        <f t="shared" si="93"/>
        <v>0.56021157420966294</v>
      </c>
      <c r="CR50" s="6"/>
      <c r="CS50" s="6"/>
      <c r="CT50" s="6"/>
      <c r="CU50" s="6"/>
      <c r="CV50" s="6"/>
      <c r="CW50" s="1"/>
      <c r="CX50" s="2" t="s">
        <v>17</v>
      </c>
      <c r="CY50" s="6">
        <f t="shared" ref="CY50:DE50" si="94">CY39/(CY26*8.76)</f>
        <v>0.65365094136721602</v>
      </c>
      <c r="CZ50" t="e">
        <f t="shared" si="94"/>
        <v>#VALUE!</v>
      </c>
      <c r="DA50" s="6">
        <f t="shared" si="94"/>
        <v>9.9140898667266525E-2</v>
      </c>
      <c r="DB50" s="6" t="e">
        <f t="shared" si="94"/>
        <v>#DIV/0!</v>
      </c>
      <c r="DC50" s="6" t="e">
        <f t="shared" si="94"/>
        <v>#VALUE!</v>
      </c>
      <c r="DD50" s="6">
        <f t="shared" si="94"/>
        <v>0.20039328925062888</v>
      </c>
      <c r="DE50" s="6">
        <f t="shared" si="94"/>
        <v>0.5598612564347053</v>
      </c>
      <c r="DF50" s="6"/>
      <c r="DG50" s="6"/>
      <c r="DH50" s="6"/>
      <c r="DI50" s="6"/>
      <c r="DJ50" s="6"/>
      <c r="DK50" s="1"/>
    </row>
    <row r="51" spans="1:115">
      <c r="A51" s="1"/>
      <c r="B51" s="2" t="s">
        <v>18</v>
      </c>
      <c r="C51" t="e">
        <f t="shared" ref="C51:I51" si="95">C40/(C27*8.76)</f>
        <v>#VALUE!</v>
      </c>
      <c r="D51" t="e">
        <f t="shared" si="95"/>
        <v>#VALUE!</v>
      </c>
      <c r="E51" s="6">
        <f t="shared" si="95"/>
        <v>0.19315830627135128</v>
      </c>
      <c r="F51" s="6">
        <f t="shared" si="95"/>
        <v>0.83796631313352354</v>
      </c>
      <c r="G51" s="6" t="e">
        <f t="shared" si="95"/>
        <v>#VALUE!</v>
      </c>
      <c r="H51" s="6">
        <f t="shared" si="95"/>
        <v>0.1987241879624855</v>
      </c>
      <c r="I51" s="6">
        <f t="shared" si="95"/>
        <v>0.49013269894127603</v>
      </c>
      <c r="L51" s="12">
        <f t="shared" si="52"/>
        <v>7.8956296121810002E-2</v>
      </c>
      <c r="S51" s="1"/>
      <c r="T51" s="2" t="s">
        <v>18</v>
      </c>
      <c r="U51" t="e">
        <f t="shared" ref="U51:AA51" si="96">U40/(U27*8.76)</f>
        <v>#VALUE!</v>
      </c>
      <c r="V51" t="e">
        <f t="shared" si="96"/>
        <v>#VALUE!</v>
      </c>
      <c r="W51" s="6">
        <f t="shared" si="96"/>
        <v>0.19315830627135128</v>
      </c>
      <c r="X51" s="6">
        <f t="shared" si="96"/>
        <v>0.83796631313352354</v>
      </c>
      <c r="Y51" s="6" t="e">
        <f t="shared" si="96"/>
        <v>#VALUE!</v>
      </c>
      <c r="Z51" s="6">
        <f t="shared" si="96"/>
        <v>0.19874504689582581</v>
      </c>
      <c r="AA51" s="6">
        <f t="shared" si="96"/>
        <v>0.48992820683897587</v>
      </c>
      <c r="AB51" s="6"/>
      <c r="AC51" s="6"/>
      <c r="AD51" s="6"/>
      <c r="AE51" s="23">
        <f t="shared" si="54"/>
        <v>7.8956296121809988E-2</v>
      </c>
      <c r="AF51" s="6"/>
      <c r="AG51" s="6"/>
      <c r="AH51" s="6"/>
      <c r="AI51" s="6"/>
      <c r="AJ51" s="6"/>
      <c r="AK51" s="1"/>
      <c r="AL51" s="2" t="s">
        <v>18</v>
      </c>
      <c r="AM51" t="e">
        <f t="shared" ref="AM51:AS51" si="97">AM40/(AM27*8.76)</f>
        <v>#VALUE!</v>
      </c>
      <c r="AN51" t="e">
        <f t="shared" si="97"/>
        <v>#VALUE!</v>
      </c>
      <c r="AO51" s="6">
        <f t="shared" si="97"/>
        <v>0.19315830627135128</v>
      </c>
      <c r="AP51" s="6">
        <f t="shared" si="97"/>
        <v>0.83796631313352354</v>
      </c>
      <c r="AQ51" s="6" t="e">
        <f t="shared" si="97"/>
        <v>#VALUE!</v>
      </c>
      <c r="AR51" s="6">
        <f t="shared" si="97"/>
        <v>0.19873238598936396</v>
      </c>
      <c r="AS51" s="6">
        <f t="shared" si="97"/>
        <v>0.49005232897586398</v>
      </c>
      <c r="AY51" s="1"/>
      <c r="AZ51" s="2" t="s">
        <v>18</v>
      </c>
      <c r="BA51" t="e">
        <f t="shared" ref="BA51:BG51" si="98">BA40/(BA27*8.76)</f>
        <v>#VALUE!</v>
      </c>
      <c r="BB51" t="e">
        <f t="shared" si="98"/>
        <v>#VALUE!</v>
      </c>
      <c r="BC51" s="6">
        <f t="shared" si="98"/>
        <v>0.17551385136753328</v>
      </c>
      <c r="BD51" s="6">
        <f t="shared" si="98"/>
        <v>0.81772284246575344</v>
      </c>
      <c r="BE51" s="6" t="e">
        <f t="shared" si="98"/>
        <v>#VALUE!</v>
      </c>
      <c r="BF51" s="6">
        <f t="shared" si="98"/>
        <v>0.19907400860808344</v>
      </c>
      <c r="BG51" s="6">
        <f t="shared" si="98"/>
        <v>0.49014762086725616</v>
      </c>
      <c r="BH51" s="6"/>
      <c r="BI51" s="6"/>
      <c r="BQ51" s="1"/>
      <c r="BR51" s="2" t="s">
        <v>18</v>
      </c>
      <c r="BS51" t="e">
        <f t="shared" si="48"/>
        <v>#VALUE!</v>
      </c>
      <c r="BT51" t="e">
        <f t="shared" si="48"/>
        <v>#VALUE!</v>
      </c>
      <c r="BU51" s="6">
        <f t="shared" si="48"/>
        <v>0.18258538653816328</v>
      </c>
      <c r="BV51" s="6">
        <f t="shared" si="48"/>
        <v>0.84773859206974</v>
      </c>
      <c r="BW51" s="6" t="e">
        <f t="shared" si="48"/>
        <v>#VALUE!</v>
      </c>
      <c r="BX51" s="6">
        <f t="shared" si="48"/>
        <v>0.20078576973832493</v>
      </c>
      <c r="BY51" s="6">
        <f t="shared" si="48"/>
        <v>0.49204807492117097</v>
      </c>
      <c r="BZ51" s="6"/>
      <c r="CA51" s="6"/>
      <c r="CB51" s="6"/>
      <c r="CC51" s="6"/>
      <c r="CD51" s="6"/>
      <c r="CI51" s="1"/>
      <c r="CJ51" s="2" t="s">
        <v>18</v>
      </c>
      <c r="CK51" t="e">
        <f t="shared" ref="CK51:CQ51" si="99">CK40/(CK27*8.76)</f>
        <v>#VALUE!</v>
      </c>
      <c r="CL51" t="e">
        <f t="shared" si="99"/>
        <v>#VALUE!</v>
      </c>
      <c r="CM51" s="6">
        <f t="shared" si="99"/>
        <v>0.17551385136753328</v>
      </c>
      <c r="CN51" s="6">
        <f t="shared" si="99"/>
        <v>0.81772284246575344</v>
      </c>
      <c r="CO51" s="6" t="e">
        <f t="shared" si="99"/>
        <v>#VALUE!</v>
      </c>
      <c r="CP51" s="6">
        <f t="shared" si="99"/>
        <v>0.19908056907016944</v>
      </c>
      <c r="CQ51" s="6">
        <f t="shared" si="99"/>
        <v>0.49004453351298549</v>
      </c>
      <c r="CR51" s="6"/>
      <c r="CS51" s="6"/>
      <c r="CT51" s="6"/>
      <c r="CU51" s="6"/>
      <c r="CV51" s="6"/>
      <c r="CW51" s="1"/>
      <c r="CX51" s="2" t="s">
        <v>18</v>
      </c>
      <c r="CY51" t="e">
        <f t="shared" ref="CY51:DE51" si="100">CY40/(CY27*8.76)</f>
        <v>#VALUE!</v>
      </c>
      <c r="CZ51" t="e">
        <f t="shared" si="100"/>
        <v>#VALUE!</v>
      </c>
      <c r="DA51" s="6">
        <f t="shared" si="100"/>
        <v>0.16827704372877567</v>
      </c>
      <c r="DB51" s="6">
        <f t="shared" si="100"/>
        <v>0.81867352739726029</v>
      </c>
      <c r="DC51" s="6" t="e">
        <f t="shared" si="100"/>
        <v>#VALUE!</v>
      </c>
      <c r="DD51" s="6">
        <f t="shared" si="100"/>
        <v>0.19884257295726865</v>
      </c>
      <c r="DE51" s="6">
        <f t="shared" si="100"/>
        <v>0.48931228689051487</v>
      </c>
      <c r="DF51" s="6"/>
      <c r="DG51" s="6"/>
      <c r="DH51" s="6"/>
      <c r="DI51" s="6"/>
      <c r="DJ51" s="6"/>
      <c r="DK51" s="1"/>
    </row>
    <row r="52" spans="1:115">
      <c r="A52" s="1"/>
      <c r="B52" s="2" t="s">
        <v>19</v>
      </c>
      <c r="C52" t="e">
        <f t="shared" ref="C52:I52" si="101">C41/(C28*8.76)</f>
        <v>#VALUE!</v>
      </c>
      <c r="D52" t="e">
        <f t="shared" si="101"/>
        <v>#VALUE!</v>
      </c>
      <c r="E52" s="6">
        <f t="shared" si="101"/>
        <v>0.12034773393818393</v>
      </c>
      <c r="F52" s="6" t="e">
        <f t="shared" si="101"/>
        <v>#DIV/0!</v>
      </c>
      <c r="G52" s="6">
        <f t="shared" si="101"/>
        <v>0.61999714611872148</v>
      </c>
      <c r="H52" s="6">
        <f t="shared" si="101"/>
        <v>0.19896636193643269</v>
      </c>
      <c r="I52" s="6">
        <f t="shared" si="101"/>
        <v>0.54273907498186391</v>
      </c>
      <c r="L52" s="12">
        <f t="shared" si="52"/>
        <v>4.7470466722967598E-2</v>
      </c>
      <c r="S52" s="1"/>
      <c r="T52" s="2" t="s">
        <v>19</v>
      </c>
      <c r="U52" t="e">
        <f t="shared" ref="U52:AA52" si="102">U41/(U28*8.76)</f>
        <v>#VALUE!</v>
      </c>
      <c r="V52" t="e">
        <f t="shared" si="102"/>
        <v>#VALUE!</v>
      </c>
      <c r="W52" s="6">
        <f t="shared" si="102"/>
        <v>0.12034773393818393</v>
      </c>
      <c r="X52" s="6" t="e">
        <f t="shared" si="102"/>
        <v>#DIV/0!</v>
      </c>
      <c r="Y52" s="6">
        <f t="shared" si="102"/>
        <v>0.61999714611872148</v>
      </c>
      <c r="Z52" s="6">
        <f t="shared" si="102"/>
        <v>0.19894256398935892</v>
      </c>
      <c r="AA52" s="6">
        <f t="shared" si="102"/>
        <v>0.54276467195824873</v>
      </c>
      <c r="AB52" s="6"/>
      <c r="AC52" s="6"/>
      <c r="AD52" s="6"/>
      <c r="AE52" s="23">
        <f t="shared" si="54"/>
        <v>4.7470466722967598E-2</v>
      </c>
      <c r="AF52" s="6"/>
      <c r="AG52" s="6"/>
      <c r="AH52" s="6"/>
      <c r="AI52" s="6"/>
      <c r="AJ52" s="6"/>
      <c r="AK52" s="1"/>
      <c r="AL52" s="2" t="s">
        <v>19</v>
      </c>
      <c r="AM52" t="e">
        <f t="shared" ref="AM52:AS52" si="103">AM41/(AM28*8.76)</f>
        <v>#VALUE!</v>
      </c>
      <c r="AN52" t="e">
        <f t="shared" si="103"/>
        <v>#VALUE!</v>
      </c>
      <c r="AO52" s="6">
        <f t="shared" si="103"/>
        <v>0.11932246092077567</v>
      </c>
      <c r="AP52" s="6" t="e">
        <f t="shared" si="103"/>
        <v>#DIV/0!</v>
      </c>
      <c r="AQ52" s="6">
        <f t="shared" si="103"/>
        <v>0.62557744006849314</v>
      </c>
      <c r="AR52" s="6">
        <f t="shared" si="103"/>
        <v>0.19897199828312895</v>
      </c>
      <c r="AS52" s="6">
        <f t="shared" si="103"/>
        <v>0.54308264742234602</v>
      </c>
      <c r="AY52" s="1"/>
      <c r="AZ52" s="2" t="s">
        <v>19</v>
      </c>
      <c r="BA52" t="e">
        <f t="shared" ref="BA52:BG52" si="104">BA41/(BA28*8.76)</f>
        <v>#VALUE!</v>
      </c>
      <c r="BB52" t="e">
        <f t="shared" si="104"/>
        <v>#VALUE!</v>
      </c>
      <c r="BC52" s="6">
        <f t="shared" si="104"/>
        <v>0.12034773393818393</v>
      </c>
      <c r="BD52" s="6" t="e">
        <f t="shared" si="104"/>
        <v>#DIV/0!</v>
      </c>
      <c r="BE52" s="6">
        <f t="shared" si="104"/>
        <v>0.61999714611872148</v>
      </c>
      <c r="BF52" s="6">
        <f t="shared" si="104"/>
        <v>0.19897844488682279</v>
      </c>
      <c r="BG52" s="6">
        <f t="shared" si="104"/>
        <v>0.54272607860890631</v>
      </c>
      <c r="BH52" s="6"/>
      <c r="BI52" s="6"/>
      <c r="BQ52" s="1"/>
      <c r="BR52" s="2" t="s">
        <v>19</v>
      </c>
      <c r="BS52" t="e">
        <f t="shared" si="48"/>
        <v>#VALUE!</v>
      </c>
      <c r="BT52" t="e">
        <f t="shared" si="48"/>
        <v>#VALUE!</v>
      </c>
      <c r="BU52" s="6">
        <f t="shared" si="48"/>
        <v>0.11777107799363083</v>
      </c>
      <c r="BV52" s="6" t="e">
        <f t="shared" si="48"/>
        <v>#DIV/0!</v>
      </c>
      <c r="BW52" s="6">
        <f t="shared" si="48"/>
        <v>0.64332494292237441</v>
      </c>
      <c r="BX52" s="6">
        <f t="shared" si="48"/>
        <v>0.19902379248335583</v>
      </c>
      <c r="BY52" s="6">
        <f t="shared" si="48"/>
        <v>0.54370063345590502</v>
      </c>
      <c r="BZ52" s="6"/>
      <c r="CA52" s="6"/>
      <c r="CB52" s="6"/>
      <c r="CC52" s="6"/>
      <c r="CD52" s="6"/>
      <c r="CI52" s="1"/>
      <c r="CJ52" s="2" t="s">
        <v>19</v>
      </c>
      <c r="CK52" t="e">
        <f t="shared" ref="CK52:CQ52" si="105">CK41/(CK28*8.76)</f>
        <v>#VALUE!</v>
      </c>
      <c r="CL52" t="e">
        <f t="shared" si="105"/>
        <v>#VALUE!</v>
      </c>
      <c r="CM52" s="6">
        <f t="shared" si="105"/>
        <v>0.12034773393818393</v>
      </c>
      <c r="CN52" s="6" t="e">
        <f t="shared" si="105"/>
        <v>#DIV/0!</v>
      </c>
      <c r="CO52" s="6">
        <f t="shared" si="105"/>
        <v>0.61999714611872148</v>
      </c>
      <c r="CP52" s="6">
        <f t="shared" si="105"/>
        <v>0.19895227688499273</v>
      </c>
      <c r="CQ52" s="6">
        <f t="shared" si="105"/>
        <v>0.54275422480667734</v>
      </c>
      <c r="CR52" s="6"/>
      <c r="CS52" s="6"/>
      <c r="CT52" s="6"/>
      <c r="CU52" s="6"/>
      <c r="CV52" s="6"/>
      <c r="CW52" s="1"/>
      <c r="CX52" s="2" t="s">
        <v>19</v>
      </c>
      <c r="CY52" t="e">
        <f t="shared" ref="CY52:DE52" si="106">CY41/(CY28*8.76)</f>
        <v>#VALUE!</v>
      </c>
      <c r="CZ52" t="e">
        <f t="shared" si="106"/>
        <v>#VALUE!</v>
      </c>
      <c r="DA52" s="6">
        <f t="shared" si="106"/>
        <v>0.12047465007279734</v>
      </c>
      <c r="DB52" s="6" t="e">
        <f t="shared" si="106"/>
        <v>#DIV/0!</v>
      </c>
      <c r="DC52" s="6">
        <f t="shared" si="106"/>
        <v>0.62002321632420099</v>
      </c>
      <c r="DD52" s="6">
        <f t="shared" si="106"/>
        <v>0.19895720638244249</v>
      </c>
      <c r="DE52" s="6">
        <f t="shared" si="106"/>
        <v>0.54268523286532533</v>
      </c>
      <c r="DF52" s="6"/>
      <c r="DG52" s="6"/>
      <c r="DH52" s="6"/>
      <c r="DI52" s="6"/>
      <c r="DJ52" s="6"/>
      <c r="DK52" s="1"/>
    </row>
    <row r="53" spans="1:115">
      <c r="A53" s="1"/>
      <c r="S53" s="1"/>
      <c r="AK53" s="1"/>
      <c r="AY53" s="1"/>
      <c r="BQ53" s="1"/>
      <c r="CI53" s="1"/>
      <c r="CW53" s="1"/>
      <c r="DK53" s="1"/>
    </row>
    <row r="54" spans="1:115">
      <c r="A54" s="1"/>
      <c r="D54" t="s">
        <v>37</v>
      </c>
      <c r="E54">
        <f>SUM(C32:I41)</f>
        <v>6799.8106110000017</v>
      </c>
      <c r="F54" s="4" t="s">
        <v>38</v>
      </c>
      <c r="S54" s="1"/>
      <c r="V54" t="s">
        <v>37</v>
      </c>
      <c r="W54">
        <f>SUM(U32:AA41)</f>
        <v>6799.8106100000014</v>
      </c>
      <c r="X54" s="4" t="s">
        <v>38</v>
      </c>
      <c r="AK54" s="1"/>
      <c r="AN54" t="s">
        <v>37</v>
      </c>
      <c r="AO54">
        <f>SUM(AM32:AS41)</f>
        <v>6799.8106100000005</v>
      </c>
      <c r="AP54" s="4" t="s">
        <v>38</v>
      </c>
      <c r="AY54" s="1"/>
      <c r="BB54" t="s">
        <v>37</v>
      </c>
      <c r="BC54">
        <f>SUM(BA32:BG41)</f>
        <v>6799.8106109999999</v>
      </c>
      <c r="BD54" s="4" t="s">
        <v>38</v>
      </c>
      <c r="BQ54" s="1"/>
      <c r="BT54" t="s">
        <v>37</v>
      </c>
      <c r="BU54">
        <f>SUM(BS32:BY41)</f>
        <v>6799.8106110000008</v>
      </c>
      <c r="BV54" s="4" t="s">
        <v>38</v>
      </c>
      <c r="CI54" s="1"/>
      <c r="CL54" t="s">
        <v>37</v>
      </c>
      <c r="CM54">
        <f>SUM(CK32:CQ41)</f>
        <v>6799.8106109999981</v>
      </c>
      <c r="CN54" s="4" t="s">
        <v>38</v>
      </c>
      <c r="CW54" s="1"/>
      <c r="CZ54" t="s">
        <v>37</v>
      </c>
      <c r="DA54">
        <f>SUM(CY32:DE41)</f>
        <v>6799.8106109999981</v>
      </c>
      <c r="DB54" s="4" t="s">
        <v>38</v>
      </c>
      <c r="DK54" s="1"/>
    </row>
    <row r="55" spans="1:115">
      <c r="A55" s="1"/>
      <c r="D55" t="s">
        <v>39</v>
      </c>
      <c r="E55">
        <f>SUM(E32:E41)</f>
        <v>777.35716100000013</v>
      </c>
      <c r="F55" s="4" t="s">
        <v>38</v>
      </c>
      <c r="S55" s="1"/>
      <c r="V55" t="s">
        <v>39</v>
      </c>
      <c r="W55">
        <f>SUM(W32:W41)</f>
        <v>836.51266600000008</v>
      </c>
      <c r="X55" s="4" t="s">
        <v>38</v>
      </c>
      <c r="AK55" s="1"/>
      <c r="AN55" t="s">
        <v>39</v>
      </c>
      <c r="AO55">
        <f>SUM(AO32:AO41)</f>
        <v>783.21904899999981</v>
      </c>
      <c r="AP55" s="4" t="s">
        <v>38</v>
      </c>
      <c r="AY55" s="1"/>
      <c r="BB55" t="s">
        <v>39</v>
      </c>
      <c r="BC55">
        <f>SUM(BC32:BC41)</f>
        <v>679.68021199999998</v>
      </c>
      <c r="BD55" s="4" t="s">
        <v>38</v>
      </c>
      <c r="BQ55" s="1"/>
      <c r="BT55" t="s">
        <v>39</v>
      </c>
      <c r="BU55">
        <f>SUM(BU32:BU41)</f>
        <v>1052.6151520000003</v>
      </c>
      <c r="BV55" s="4" t="s">
        <v>38</v>
      </c>
      <c r="CI55" s="1"/>
      <c r="CL55" t="s">
        <v>39</v>
      </c>
      <c r="CM55">
        <f>SUM(CM32:CM41)</f>
        <v>785.00753299999997</v>
      </c>
      <c r="CN55" s="4" t="s">
        <v>38</v>
      </c>
      <c r="CW55" s="1"/>
      <c r="CZ55" t="s">
        <v>39</v>
      </c>
      <c r="DA55">
        <f>SUM(DA32:DA41)</f>
        <v>687.48975099999996</v>
      </c>
      <c r="DB55" s="4" t="s">
        <v>38</v>
      </c>
      <c r="DK55" s="1"/>
    </row>
    <row r="56" spans="1:115">
      <c r="A56" s="1"/>
      <c r="D56" t="s">
        <v>40</v>
      </c>
      <c r="E56">
        <f>E55/E54</f>
        <v>0.11432041353364686</v>
      </c>
      <c r="S56" s="1"/>
      <c r="V56" t="s">
        <v>40</v>
      </c>
      <c r="W56">
        <f>W55/W54</f>
        <v>0.12301999481717917</v>
      </c>
      <c r="AK56" s="1"/>
      <c r="AN56" t="s">
        <v>40</v>
      </c>
      <c r="AO56">
        <f>AO55/AO54</f>
        <v>0.11518247991321626</v>
      </c>
      <c r="AY56" s="1"/>
      <c r="BB56" t="s">
        <v>40</v>
      </c>
      <c r="BC56">
        <f>BC55/BC54</f>
        <v>9.9955756253047201E-2</v>
      </c>
      <c r="BQ56" s="1"/>
      <c r="BT56" t="s">
        <v>40</v>
      </c>
      <c r="BU56">
        <f>BU55/BU54</f>
        <v>0.1548006572855416</v>
      </c>
      <c r="CI56" s="1"/>
      <c r="CL56" t="s">
        <v>40</v>
      </c>
      <c r="CM56">
        <f>CM55/CM54</f>
        <v>0.11544549957466457</v>
      </c>
      <c r="CW56" s="1"/>
      <c r="CZ56" t="s">
        <v>40</v>
      </c>
      <c r="DA56">
        <f>DA55/DA54</f>
        <v>0.10110424985776124</v>
      </c>
      <c r="DK56" s="1"/>
    </row>
    <row r="57" spans="1:115">
      <c r="A57" s="1"/>
      <c r="D57" t="s">
        <v>41</v>
      </c>
      <c r="E57">
        <v>0.66</v>
      </c>
      <c r="F57" t="s">
        <v>42</v>
      </c>
      <c r="S57" s="1"/>
      <c r="V57" t="s">
        <v>41</v>
      </c>
      <c r="W57">
        <v>0.66</v>
      </c>
      <c r="X57" t="s">
        <v>42</v>
      </c>
      <c r="AK57" s="1"/>
      <c r="AN57" t="s">
        <v>41</v>
      </c>
      <c r="AO57">
        <v>0.66</v>
      </c>
      <c r="AP57" t="s">
        <v>42</v>
      </c>
      <c r="AY57" s="1"/>
      <c r="BB57" t="s">
        <v>41</v>
      </c>
      <c r="BC57">
        <v>0.66</v>
      </c>
      <c r="BD57" t="s">
        <v>42</v>
      </c>
      <c r="BQ57" s="1"/>
      <c r="BT57" t="s">
        <v>41</v>
      </c>
      <c r="BU57">
        <v>0.66</v>
      </c>
      <c r="BV57" t="s">
        <v>42</v>
      </c>
      <c r="CI57" s="1"/>
      <c r="CL57" t="s">
        <v>41</v>
      </c>
      <c r="CM57">
        <v>0.66</v>
      </c>
      <c r="CN57" t="s">
        <v>42</v>
      </c>
      <c r="CW57" s="1"/>
      <c r="CZ57" t="s">
        <v>41</v>
      </c>
      <c r="DA57">
        <v>0.66</v>
      </c>
      <c r="DB57" t="s">
        <v>42</v>
      </c>
      <c r="DK57" s="1"/>
    </row>
    <row r="58" spans="1:115">
      <c r="A58" s="1"/>
      <c r="D58" t="s">
        <v>43</v>
      </c>
      <c r="E58" s="7">
        <f>E55*E57</f>
        <v>513.05572626000014</v>
      </c>
      <c r="F58" t="s">
        <v>44</v>
      </c>
      <c r="S58" s="1"/>
      <c r="V58" t="s">
        <v>43</v>
      </c>
      <c r="W58" s="7">
        <f>W55*W57</f>
        <v>552.09835956000006</v>
      </c>
      <c r="X58" t="s">
        <v>44</v>
      </c>
      <c r="AK58" s="1"/>
      <c r="AN58" t="s">
        <v>43</v>
      </c>
      <c r="AO58" s="7">
        <f>AO55*AO57</f>
        <v>516.92457233999994</v>
      </c>
      <c r="AP58" t="s">
        <v>44</v>
      </c>
      <c r="AY58" s="1"/>
      <c r="BB58" t="s">
        <v>43</v>
      </c>
      <c r="BC58" s="7">
        <f>BC55*BC57</f>
        <v>448.58893992000003</v>
      </c>
      <c r="BD58" t="s">
        <v>44</v>
      </c>
      <c r="BQ58" s="1"/>
      <c r="BT58" t="s">
        <v>43</v>
      </c>
      <c r="BU58" s="7">
        <f>BU55*BU57</f>
        <v>694.72600032000025</v>
      </c>
      <c r="BV58" t="s">
        <v>44</v>
      </c>
      <c r="CI58" s="1"/>
      <c r="CL58" t="s">
        <v>43</v>
      </c>
      <c r="CM58" s="7">
        <f>CM55*CM57</f>
        <v>518.10497178000003</v>
      </c>
      <c r="CN58" t="s">
        <v>44</v>
      </c>
      <c r="CW58" s="1"/>
      <c r="CZ58" t="s">
        <v>43</v>
      </c>
      <c r="DA58" s="7">
        <f>DA55*DA57</f>
        <v>453.74323565999998</v>
      </c>
      <c r="DB58" t="s">
        <v>44</v>
      </c>
      <c r="DK58" s="1"/>
    </row>
    <row r="59" spans="1:115">
      <c r="A59" s="1"/>
      <c r="D59" t="s">
        <v>45</v>
      </c>
      <c r="E59" s="5">
        <f>E58/E54</f>
        <v>7.5451472932206942E-2</v>
      </c>
      <c r="F59" t="s">
        <v>46</v>
      </c>
      <c r="S59" s="1"/>
      <c r="V59" t="s">
        <v>45</v>
      </c>
      <c r="W59" s="5">
        <f>W58/W54</f>
        <v>8.1193196579338253E-2</v>
      </c>
      <c r="X59" t="s">
        <v>46</v>
      </c>
      <c r="AK59" s="1"/>
      <c r="AN59" t="s">
        <v>45</v>
      </c>
      <c r="AO59" s="5">
        <f>AO58/AO54</f>
        <v>7.6020436742722741E-2</v>
      </c>
      <c r="AP59" t="s">
        <v>46</v>
      </c>
      <c r="AY59" s="1"/>
      <c r="BB59" t="s">
        <v>45</v>
      </c>
      <c r="BC59" s="5">
        <f>BC58/BC54</f>
        <v>6.5970799127011162E-2</v>
      </c>
      <c r="BD59" t="s">
        <v>46</v>
      </c>
      <c r="BQ59" s="1"/>
      <c r="BT59" t="s">
        <v>45</v>
      </c>
      <c r="BU59" s="5">
        <f>BU58/BU54</f>
        <v>0.10216843380845746</v>
      </c>
      <c r="BV59" t="s">
        <v>46</v>
      </c>
      <c r="CI59" s="1"/>
      <c r="CL59" t="s">
        <v>45</v>
      </c>
      <c r="CM59" s="5">
        <f>CM58/CM54</f>
        <v>7.6194029719278633E-2</v>
      </c>
      <c r="CN59" t="s">
        <v>46</v>
      </c>
      <c r="CW59" s="1"/>
      <c r="CZ59" t="s">
        <v>45</v>
      </c>
      <c r="DA59" s="5">
        <f>DA58/DA54</f>
        <v>6.672880490612243E-2</v>
      </c>
      <c r="DB59" t="s">
        <v>46</v>
      </c>
      <c r="DK59" s="1"/>
    </row>
    <row r="60" spans="1:115">
      <c r="A60" s="1"/>
      <c r="S60" s="1"/>
      <c r="AK60" s="1"/>
      <c r="AY60" s="1"/>
      <c r="BQ60" s="1"/>
      <c r="CI60" s="1"/>
      <c r="CW60" s="1"/>
      <c r="DK60" s="1"/>
    </row>
    <row r="61" spans="1:115">
      <c r="A61" s="1"/>
      <c r="E61">
        <f>(E58-'0. Current system'!$E$58)/'0. Current system'!$E$58</f>
        <v>-0.85633649379484222</v>
      </c>
      <c r="S61" s="1"/>
      <c r="W61">
        <f>(W58-'0. Current system'!$E$58)/'0. Current system'!$E$58</f>
        <v>-0.84540395507775601</v>
      </c>
      <c r="AK61" s="1"/>
      <c r="AO61">
        <f>(AO58-3625)/3625</f>
        <v>-0.85740011797517246</v>
      </c>
      <c r="AY61" s="1"/>
      <c r="BC61">
        <f>(BC58-'0. Current system'!$E$58)/'0. Current system'!$E$58</f>
        <v>-0.87438818698399434</v>
      </c>
      <c r="BQ61" s="1"/>
      <c r="BU61">
        <f>(BU58-'0. Current system'!$E$58)/'0. Current system'!$E$58</f>
        <v>-0.80546601870051449</v>
      </c>
      <c r="CI61" s="1"/>
      <c r="CM61">
        <f>(CM58-'0. Current system'!$E$58)/'0. Current system'!$E$58</f>
        <v>-0.85492262727320378</v>
      </c>
      <c r="CW61" s="1"/>
      <c r="DA61">
        <f>(DA58-'0. Current system'!$E$58)/'0. Current system'!$E$58</f>
        <v>-0.87294490478261522</v>
      </c>
      <c r="DK61" s="1"/>
    </row>
    <row r="62" spans="1:115">
      <c r="S62" s="1"/>
      <c r="AK62" s="1"/>
      <c r="AY62" s="1"/>
      <c r="BQ62" s="1"/>
      <c r="CI62" s="1"/>
      <c r="CW62" s="1"/>
      <c r="DK6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509EA-6206-42FD-B4CD-A6E2981FC77E}">
  <sheetPr>
    <tabColor theme="8" tint="0.39997558519241921"/>
  </sheetPr>
  <dimension ref="D1:I12"/>
  <sheetViews>
    <sheetView workbookViewId="0">
      <selection activeCell="D3" sqref="D3:D9"/>
    </sheetView>
  </sheetViews>
  <sheetFormatPr defaultRowHeight="14.75"/>
  <cols>
    <col min="5" max="5" width="28.1328125" customWidth="1"/>
  </cols>
  <sheetData>
    <row r="1" spans="4:9">
      <c r="E1" t="s">
        <v>159</v>
      </c>
    </row>
    <row r="2" spans="4:9">
      <c r="F2" t="s">
        <v>150</v>
      </c>
      <c r="H2" t="s">
        <v>151</v>
      </c>
      <c r="I2" t="s">
        <v>215</v>
      </c>
    </row>
    <row r="3" spans="4:9">
      <c r="D3">
        <v>2.1</v>
      </c>
      <c r="E3" t="s">
        <v>161</v>
      </c>
      <c r="F3" s="48">
        <f>'2. Diesel-battery-storage'!G3</f>
        <v>92.2</v>
      </c>
      <c r="G3" s="14" t="s">
        <v>146</v>
      </c>
      <c r="H3" s="14" t="s">
        <v>152</v>
      </c>
      <c r="I3" s="57">
        <f>(F3-'1. LCOE summaries'!F3)/'1. LCOE summaries'!F3</f>
        <v>-0.22455845248107656</v>
      </c>
    </row>
    <row r="4" spans="4:9">
      <c r="D4">
        <v>2.2000000000000002</v>
      </c>
      <c r="E4" t="s">
        <v>164</v>
      </c>
      <c r="F4" s="48">
        <f>'2. Diesel-battery-storage'!Y3</f>
        <v>93.8</v>
      </c>
      <c r="G4" s="14" t="s">
        <v>146</v>
      </c>
      <c r="H4" s="23">
        <f t="shared" ref="H4:H9" si="0">(F4-F$3)/F$3</f>
        <v>1.7353579175704927E-2</v>
      </c>
    </row>
    <row r="5" spans="4:9">
      <c r="D5">
        <v>2.2999999999999998</v>
      </c>
      <c r="E5" t="s">
        <v>166</v>
      </c>
      <c r="F5" s="48">
        <f>'2. Diesel-battery-storage'!AQ3</f>
        <v>95.3</v>
      </c>
      <c r="G5" s="14" t="s">
        <v>146</v>
      </c>
      <c r="H5" s="23">
        <f t="shared" si="0"/>
        <v>3.3622559652928354E-2</v>
      </c>
    </row>
    <row r="6" spans="4:9">
      <c r="D6">
        <v>2.4</v>
      </c>
      <c r="E6" t="s">
        <v>165</v>
      </c>
      <c r="F6" s="48">
        <f>'2. Diesel-battery-storage'!BE3</f>
        <v>90.1</v>
      </c>
      <c r="G6" s="14" t="s">
        <v>146</v>
      </c>
      <c r="H6" s="23">
        <f t="shared" si="0"/>
        <v>-2.277657266811289E-2</v>
      </c>
    </row>
    <row r="7" spans="4:9">
      <c r="D7">
        <v>2.5</v>
      </c>
      <c r="E7" t="s">
        <v>163</v>
      </c>
      <c r="F7" s="48">
        <f>'2. Diesel-battery-storage'!BW3</f>
        <v>98.9</v>
      </c>
      <c r="G7" s="14" t="s">
        <v>146</v>
      </c>
      <c r="H7" s="23">
        <f t="shared" si="0"/>
        <v>7.266811279826467E-2</v>
      </c>
    </row>
    <row r="8" spans="4:9">
      <c r="D8">
        <v>2.6</v>
      </c>
      <c r="E8" t="s">
        <v>162</v>
      </c>
      <c r="F8" s="48">
        <f>'2. Diesel-battery-storage'!CO3</f>
        <v>91.9</v>
      </c>
      <c r="G8" s="14" t="s">
        <v>146</v>
      </c>
      <c r="H8" s="23">
        <f t="shared" si="0"/>
        <v>-3.2537960954446546E-3</v>
      </c>
    </row>
    <row r="9" spans="4:9">
      <c r="D9">
        <v>2.7</v>
      </c>
      <c r="E9" t="s">
        <v>167</v>
      </c>
      <c r="F9" s="48">
        <f>'2. Diesel-battery-storage'!DC3</f>
        <v>91.8</v>
      </c>
      <c r="G9" s="14" t="s">
        <v>146</v>
      </c>
      <c r="H9" s="23">
        <f t="shared" si="0"/>
        <v>-4.338394793926309E-3</v>
      </c>
    </row>
    <row r="10" spans="4:9">
      <c r="F10" s="48"/>
      <c r="G10" s="14"/>
      <c r="H10" s="23"/>
    </row>
    <row r="11" spans="4:9">
      <c r="G11" s="14"/>
    </row>
    <row r="12" spans="4:9">
      <c r="G12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2A6E-5AD3-46B5-B427-A6FEA9141FCA}">
  <sheetPr>
    <tabColor theme="8" tint="0.79998168889431442"/>
  </sheetPr>
  <dimension ref="A1:BR61"/>
  <sheetViews>
    <sheetView topLeftCell="AS1" zoomScale="80" zoomScaleNormal="80" workbookViewId="0">
      <selection activeCell="R2" sqref="R2"/>
    </sheetView>
  </sheetViews>
  <sheetFormatPr defaultRowHeight="14.75"/>
  <cols>
    <col min="2" max="2" width="10.2265625" customWidth="1"/>
    <col min="5" max="5" width="8.76953125" bestFit="1" customWidth="1"/>
    <col min="6" max="6" width="10.6796875" customWidth="1"/>
    <col min="7" max="7" width="8.76953125" bestFit="1" customWidth="1"/>
    <col min="8" max="8" width="9.1796875" bestFit="1" customWidth="1"/>
    <col min="9" max="9" width="8.76953125" bestFit="1" customWidth="1"/>
    <col min="13" max="13" width="10.31640625" customWidth="1"/>
    <col min="17" max="17" width="10.2265625" customWidth="1"/>
    <col min="20" max="20" width="8.76953125" bestFit="1" customWidth="1"/>
    <col min="21" max="21" width="10.6796875" customWidth="1"/>
    <col min="22" max="22" width="8.76953125" bestFit="1" customWidth="1"/>
    <col min="23" max="23" width="9.1796875" bestFit="1" customWidth="1"/>
    <col min="24" max="24" width="8.76953125" bestFit="1" customWidth="1"/>
    <col min="32" max="32" width="10.2265625" customWidth="1"/>
    <col min="35" max="35" width="8.76953125" bestFit="1" customWidth="1"/>
    <col min="36" max="36" width="10.6796875" customWidth="1"/>
    <col min="37" max="37" width="8.76953125" bestFit="1" customWidth="1"/>
    <col min="38" max="38" width="9.1796875" bestFit="1" customWidth="1"/>
    <col min="39" max="39" width="8.76953125" bestFit="1" customWidth="1"/>
    <col min="42" max="42" width="10.1328125" customWidth="1"/>
    <col min="43" max="43" width="10.54296875" customWidth="1"/>
    <col min="45" max="45" width="9.7265625" customWidth="1"/>
    <col min="46" max="46" width="10.953125" customWidth="1"/>
    <col min="48" max="48" width="10.04296875" customWidth="1"/>
    <col min="49" max="50" width="10.1796875" customWidth="1"/>
    <col min="52" max="52" width="10.2265625" customWidth="1"/>
    <col min="55" max="55" width="8.76953125" bestFit="1" customWidth="1"/>
    <col min="56" max="56" width="10.6796875" customWidth="1"/>
    <col min="57" max="57" width="8.76953125" bestFit="1" customWidth="1"/>
    <col min="58" max="58" width="9.1796875" bestFit="1" customWidth="1"/>
    <col min="59" max="59" width="8.76953125" bestFit="1" customWidth="1"/>
  </cols>
  <sheetData>
    <row r="1" spans="1:70">
      <c r="A1" s="1"/>
      <c r="B1" s="1" t="s">
        <v>177</v>
      </c>
      <c r="C1" s="1"/>
      <c r="D1" s="1"/>
      <c r="E1" s="1"/>
      <c r="F1" s="1"/>
      <c r="G1" s="1" t="s">
        <v>178</v>
      </c>
      <c r="H1" s="1"/>
      <c r="I1" s="1"/>
      <c r="J1" s="1"/>
      <c r="K1" s="1"/>
      <c r="L1" s="1"/>
      <c r="M1" s="1"/>
      <c r="N1" s="1"/>
      <c r="O1" s="1"/>
      <c r="P1" s="1"/>
      <c r="Q1" s="1" t="s">
        <v>177</v>
      </c>
      <c r="R1" s="1"/>
      <c r="S1" s="1"/>
      <c r="T1" s="1"/>
      <c r="U1" s="1"/>
      <c r="V1" s="1" t="s">
        <v>243</v>
      </c>
      <c r="W1" s="1"/>
      <c r="X1" s="1"/>
      <c r="Y1" s="1"/>
      <c r="Z1" s="1"/>
      <c r="AA1" s="1"/>
      <c r="AB1" s="1"/>
      <c r="AC1" s="1"/>
      <c r="AD1" s="1"/>
      <c r="AE1" s="1"/>
      <c r="AF1" s="1" t="s">
        <v>177</v>
      </c>
      <c r="AG1" s="1"/>
      <c r="AH1" s="1"/>
      <c r="AI1" s="1"/>
      <c r="AJ1" s="1"/>
      <c r="AK1" s="1" t="s">
        <v>248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177</v>
      </c>
      <c r="BA1" s="1"/>
      <c r="BB1" s="1"/>
      <c r="BC1" s="1"/>
      <c r="BD1" s="1"/>
      <c r="BE1" s="1" t="s">
        <v>250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>
      <c r="A2" s="1"/>
      <c r="B2" s="13" t="s">
        <v>239</v>
      </c>
      <c r="C2" s="18" t="s">
        <v>341</v>
      </c>
      <c r="D2" t="s">
        <v>240</v>
      </c>
      <c r="G2" t="s">
        <v>35</v>
      </c>
      <c r="H2" t="s">
        <v>36</v>
      </c>
      <c r="P2" s="1"/>
      <c r="Q2" s="13" t="s">
        <v>239</v>
      </c>
      <c r="R2" s="18" t="s">
        <v>342</v>
      </c>
      <c r="V2" t="s">
        <v>35</v>
      </c>
      <c r="W2" t="s">
        <v>36</v>
      </c>
      <c r="Y2" t="s">
        <v>242</v>
      </c>
      <c r="AE2" s="1"/>
      <c r="AF2" s="13" t="s">
        <v>247</v>
      </c>
      <c r="AH2" s="18" t="s">
        <v>336</v>
      </c>
      <c r="AK2" t="s">
        <v>35</v>
      </c>
      <c r="AL2" t="s">
        <v>36</v>
      </c>
      <c r="AN2" t="s">
        <v>249</v>
      </c>
      <c r="AY2" s="1"/>
      <c r="AZ2" s="13" t="s">
        <v>247</v>
      </c>
      <c r="BB2" s="18" t="s">
        <v>337</v>
      </c>
      <c r="BE2" t="s">
        <v>35</v>
      </c>
      <c r="BF2" t="s">
        <v>36</v>
      </c>
      <c r="BH2" t="s">
        <v>251</v>
      </c>
    </row>
    <row r="3" spans="1:70">
      <c r="A3" s="1"/>
      <c r="B3">
        <v>6</v>
      </c>
      <c r="C3" t="s">
        <v>33</v>
      </c>
      <c r="G3">
        <v>93.8</v>
      </c>
      <c r="H3" s="20">
        <f>(G3-'0. Current system'!$G3)/'0. Current system'!$G3</f>
        <v>-0.48743169398907105</v>
      </c>
      <c r="I3" s="20">
        <f>(G3-'1. Diesel, no storage'!$G3)/'1. Diesel, no storage'!$G3</f>
        <v>-0.21110176619007576</v>
      </c>
      <c r="J3" s="20"/>
      <c r="P3" s="1"/>
      <c r="Q3">
        <v>6</v>
      </c>
      <c r="R3" t="s">
        <v>33</v>
      </c>
      <c r="V3">
        <v>91.1</v>
      </c>
      <c r="W3" s="20">
        <f>(V3-'0. Current system'!$G3)/'0. Current system'!$G3</f>
        <v>-0.50218579234972682</v>
      </c>
      <c r="X3" s="20">
        <f>(V3-'1. Diesel, no storage'!$G3)/'1. Diesel, no storage'!$G3</f>
        <v>-0.2338099243061397</v>
      </c>
      <c r="Y3" s="20"/>
      <c r="AE3" s="1"/>
      <c r="AF3">
        <v>6</v>
      </c>
      <c r="AG3" t="s">
        <v>33</v>
      </c>
      <c r="AK3">
        <v>105.7</v>
      </c>
      <c r="AL3" s="20">
        <f>(AK3-'0. Current system'!$G3)/'0. Current system'!$G3</f>
        <v>-0.42240437158469946</v>
      </c>
      <c r="AM3" s="20">
        <f>(AK3-'1. Diesel, no storage'!$G3)/'1. Diesel, no storage'!$G3</f>
        <v>-0.11101766190075696</v>
      </c>
      <c r="AN3" s="20">
        <f>(AK3-'2. Diesel-battery-storage'!$BE3)/'2. Diesel-battery-storage'!$BE3</f>
        <v>0.17314095449500566</v>
      </c>
      <c r="AY3" s="1"/>
      <c r="AZ3">
        <v>6</v>
      </c>
      <c r="BA3" t="s">
        <v>33</v>
      </c>
      <c r="BE3">
        <v>95.3</v>
      </c>
      <c r="BF3" s="20">
        <f>(BE3-'0. Current system'!$G3)/'0. Current system'!$G3</f>
        <v>-0.47923497267759563</v>
      </c>
      <c r="BG3" s="20">
        <f>(BE3-'1. Diesel, no storage'!$G3)/'1. Diesel, no storage'!$G3</f>
        <v>-0.19848612279226246</v>
      </c>
      <c r="BH3" s="20"/>
    </row>
    <row r="4" spans="1:70">
      <c r="A4" s="1"/>
      <c r="B4" s="4" t="s">
        <v>21</v>
      </c>
      <c r="D4" t="s">
        <v>34</v>
      </c>
      <c r="F4" s="4" t="s">
        <v>8</v>
      </c>
      <c r="H4" t="s">
        <v>104</v>
      </c>
      <c r="I4" t="s">
        <v>172</v>
      </c>
      <c r="J4" t="s">
        <v>218</v>
      </c>
      <c r="P4" s="1"/>
      <c r="Q4" s="4" t="s">
        <v>21</v>
      </c>
      <c r="S4" t="s">
        <v>34</v>
      </c>
      <c r="U4" s="4" t="s">
        <v>8</v>
      </c>
      <c r="W4" t="s">
        <v>104</v>
      </c>
      <c r="X4" t="s">
        <v>172</v>
      </c>
      <c r="AE4" s="1"/>
      <c r="AF4" s="4" t="s">
        <v>21</v>
      </c>
      <c r="AH4" t="s">
        <v>34</v>
      </c>
      <c r="AJ4" s="4" t="s">
        <v>8</v>
      </c>
      <c r="AL4" t="s">
        <v>104</v>
      </c>
      <c r="AM4" t="s">
        <v>172</v>
      </c>
      <c r="AN4" t="s">
        <v>258</v>
      </c>
      <c r="AO4" t="s">
        <v>259</v>
      </c>
      <c r="AY4" s="1"/>
      <c r="AZ4" s="4" t="s">
        <v>21</v>
      </c>
      <c r="BB4" t="s">
        <v>34</v>
      </c>
      <c r="BD4" s="4" t="s">
        <v>8</v>
      </c>
      <c r="BF4" t="s">
        <v>104</v>
      </c>
      <c r="BG4" t="s">
        <v>172</v>
      </c>
    </row>
    <row r="5" spans="1:70">
      <c r="A5" s="1"/>
      <c r="B5" s="4" t="s">
        <v>23</v>
      </c>
      <c r="C5" s="9">
        <v>26.531841</v>
      </c>
      <c r="D5" s="9">
        <f>C5*B$3</f>
        <v>159.191046</v>
      </c>
      <c r="F5" s="4" t="s">
        <v>9</v>
      </c>
      <c r="G5" s="7">
        <v>73.788670999999994</v>
      </c>
      <c r="H5" s="20">
        <f>(G5-'0. Current system'!$G5)/'0. Current system'!$G5</f>
        <v>-0.63492593540930387</v>
      </c>
      <c r="I5" s="20">
        <f>(G5-'1. Diesel, no storage'!$G5)/'1. Diesel, no storage'!$G5</f>
        <v>-0.46264324931694062</v>
      </c>
      <c r="J5" s="20"/>
      <c r="L5">
        <f>G5*L32</f>
        <v>32246.832797282834</v>
      </c>
      <c r="P5" s="1"/>
      <c r="Q5" s="4" t="s">
        <v>23</v>
      </c>
      <c r="R5" s="9">
        <v>26.673997</v>
      </c>
      <c r="S5" s="9">
        <f>R5*Q$3</f>
        <v>160.043982</v>
      </c>
      <c r="U5" s="4" t="s">
        <v>9</v>
      </c>
      <c r="V5" s="7">
        <v>73.788894999999997</v>
      </c>
      <c r="W5" s="20">
        <f>(V5-'0. Current system'!$G5)/'0. Current system'!$G5</f>
        <v>-0.63492482715529475</v>
      </c>
      <c r="X5" s="20">
        <f>(V5-'1. Diesel, no storage'!$G5)/'1. Diesel, no storage'!$G5</f>
        <v>-0.46264161806500825</v>
      </c>
      <c r="Y5" s="20"/>
      <c r="AA5">
        <f>V5*AA32</f>
        <v>32246.930688875796</v>
      </c>
      <c r="AE5" s="1"/>
      <c r="AF5" s="4" t="s">
        <v>23</v>
      </c>
      <c r="AG5" s="9">
        <v>70</v>
      </c>
      <c r="AH5" s="9">
        <f>AG5*AF$3</f>
        <v>420</v>
      </c>
      <c r="AJ5" s="4" t="s">
        <v>9</v>
      </c>
      <c r="AK5" s="7">
        <v>98.979073</v>
      </c>
      <c r="AL5" s="20">
        <f>(AK5-'0. Current system'!$G5)/'0. Current system'!$G5</f>
        <v>-0.51029484608105724</v>
      </c>
      <c r="AM5" s="20">
        <f>(AK5-'1. Diesel, no storage'!$G5)/'1. Diesel, no storage'!$G5</f>
        <v>-0.27919730316187241</v>
      </c>
      <c r="AN5" s="20">
        <f>(AK5-'2. Diesel-battery-storage'!$BE5)/'2. Diesel-battery-storage'!$BE5</f>
        <v>0</v>
      </c>
      <c r="AO5" s="20">
        <f>(AK5-$G5)/$G5</f>
        <v>0.34138576638682122</v>
      </c>
      <c r="AP5">
        <f>AK5*AP32</f>
        <v>43255.442525330924</v>
      </c>
      <c r="AY5" s="1"/>
      <c r="AZ5" s="4" t="s">
        <v>23</v>
      </c>
      <c r="BA5" s="9">
        <v>26.673997</v>
      </c>
      <c r="BB5" s="9">
        <f>BA5*AZ$3</f>
        <v>160.043982</v>
      </c>
      <c r="BD5" s="4" t="s">
        <v>9</v>
      </c>
      <c r="BE5" s="7">
        <v>73.788894999999997</v>
      </c>
      <c r="BF5" s="20">
        <f>(BE5-'0. Current system'!$G5)/'0. Current system'!$G5</f>
        <v>-0.63492482715529475</v>
      </c>
      <c r="BG5" s="20">
        <f>(BE5-'1. Diesel, no storage'!$G5)/'1. Diesel, no storage'!$G5</f>
        <v>-0.46264161806500825</v>
      </c>
      <c r="BH5" s="20"/>
      <c r="BJ5">
        <f>BE5*BJ32</f>
        <v>32246.9306888758</v>
      </c>
    </row>
    <row r="6" spans="1:70">
      <c r="A6" s="1"/>
      <c r="B6" s="4" t="s">
        <v>29</v>
      </c>
      <c r="C6" s="9">
        <v>130.20932199999999</v>
      </c>
      <c r="D6" s="9">
        <f t="shared" ref="D6:D14" si="0">C6*B$3</f>
        <v>781.25593199999992</v>
      </c>
      <c r="F6" s="4" t="s">
        <v>11</v>
      </c>
      <c r="G6" s="7">
        <v>68.229174999999998</v>
      </c>
      <c r="H6" s="20">
        <f>(G6-'0. Current system'!$G6)/'0. Current system'!$G6</f>
        <v>-0.63028530961581941</v>
      </c>
      <c r="I6" s="20">
        <f>(G6-'1. Diesel, no storage'!$G6)/'1. Diesel, no storage'!$G6</f>
        <v>-0.44864238485197788</v>
      </c>
      <c r="J6" s="20"/>
      <c r="L6">
        <f t="shared" ref="L6:L14" si="1">G6*L33</f>
        <v>82006.15329726749</v>
      </c>
      <c r="P6" s="1"/>
      <c r="Q6" s="4" t="s">
        <v>29</v>
      </c>
      <c r="R6" s="9">
        <v>130.20932199999999</v>
      </c>
      <c r="S6" s="9">
        <f t="shared" ref="S6:S14" si="2">R6*Q$3</f>
        <v>781.25593199999992</v>
      </c>
      <c r="U6" s="4" t="s">
        <v>11</v>
      </c>
      <c r="V6" s="7">
        <v>68.229174999999998</v>
      </c>
      <c r="W6" s="20">
        <f>(V6-'0. Current system'!$G6)/'0. Current system'!$G6</f>
        <v>-0.63028530961581941</v>
      </c>
      <c r="X6" s="20">
        <f>(V6-'1. Diesel, no storage'!$G6)/'1. Diesel, no storage'!$G6</f>
        <v>-0.44864238485197788</v>
      </c>
      <c r="Y6" s="20"/>
      <c r="AA6">
        <f t="shared" ref="AA6:AA14" si="3">V6*AA33</f>
        <v>82006.153365496677</v>
      </c>
      <c r="AE6" s="1"/>
      <c r="AF6" s="4" t="s">
        <v>29</v>
      </c>
      <c r="AG6" s="9">
        <v>200</v>
      </c>
      <c r="AH6" s="9">
        <f t="shared" ref="AH6:AH14" si="4">AG6*AF$3</f>
        <v>1200</v>
      </c>
      <c r="AJ6" s="4" t="s">
        <v>11</v>
      </c>
      <c r="AK6" s="7">
        <v>89.944396999999995</v>
      </c>
      <c r="AL6" s="20">
        <f>(AK6-'0. Current system'!$G6)/'0. Current system'!$G6</f>
        <v>-0.51261663520558731</v>
      </c>
      <c r="AM6" s="20">
        <f>(AK6-'1. Diesel, no storage'!$G6)/'1. Diesel, no storage'!$G6</f>
        <v>-0.27316242317385614</v>
      </c>
      <c r="AN6" s="20">
        <f>(AK6-'2. Diesel-battery-storage'!$BE6)/'2. Diesel-battery-storage'!$BE6</f>
        <v>0</v>
      </c>
      <c r="AO6" s="20">
        <f t="shared" ref="AO6:AO14" si="5">(AK6-$G6)/$G6</f>
        <v>0.31826886372288682</v>
      </c>
      <c r="AP6">
        <f t="shared" ref="AP6:AP14" si="6">AK6*AP33</f>
        <v>108106.1585254737</v>
      </c>
      <c r="AY6" s="1"/>
      <c r="AZ6" s="4" t="s">
        <v>29</v>
      </c>
      <c r="BA6" s="9">
        <v>130.20932199999999</v>
      </c>
      <c r="BB6" s="9">
        <f t="shared" ref="BB6:BB14" si="7">BA6*AZ$3</f>
        <v>781.25593199999992</v>
      </c>
      <c r="BD6" s="4" t="s">
        <v>11</v>
      </c>
      <c r="BE6" s="7">
        <v>68.229174999999998</v>
      </c>
      <c r="BF6" s="20">
        <f>(BE6-'0. Current system'!$G6)/'0. Current system'!$G6</f>
        <v>-0.63028530961581941</v>
      </c>
      <c r="BG6" s="20">
        <f>(BE6-'1. Diesel, no storage'!$G6)/'1. Diesel, no storage'!$G6</f>
        <v>-0.44864238485197788</v>
      </c>
      <c r="BH6" s="20"/>
      <c r="BJ6">
        <f t="shared" ref="BJ6:BJ14" si="8">BE6*BJ33</f>
        <v>82006.15329726749</v>
      </c>
    </row>
    <row r="7" spans="1:70">
      <c r="A7" s="1"/>
      <c r="B7" s="4" t="s">
        <v>26</v>
      </c>
      <c r="C7" s="9">
        <v>0</v>
      </c>
      <c r="D7" s="9">
        <f t="shared" si="0"/>
        <v>0</v>
      </c>
      <c r="F7" s="4" t="s">
        <v>12</v>
      </c>
      <c r="G7" s="7">
        <v>111.57970299999999</v>
      </c>
      <c r="H7" s="20">
        <f>(G7-'0. Current system'!$G7)/'0. Current system'!$G7</f>
        <v>-0.13415369708276381</v>
      </c>
      <c r="I7" s="20">
        <f>(G7-'1. Diesel, no storage'!$G7)/'1. Diesel, no storage'!$G7</f>
        <v>0</v>
      </c>
      <c r="J7" s="20"/>
      <c r="L7">
        <f t="shared" si="1"/>
        <v>14224.280960172699</v>
      </c>
      <c r="P7" s="1"/>
      <c r="Q7" s="4" t="s">
        <v>26</v>
      </c>
      <c r="R7" s="9">
        <v>0</v>
      </c>
      <c r="S7" s="9">
        <f t="shared" si="2"/>
        <v>0</v>
      </c>
      <c r="U7" s="4" t="s">
        <v>12</v>
      </c>
      <c r="V7" s="7">
        <v>109.82342300000001</v>
      </c>
      <c r="W7" s="20">
        <f>(V7-'0. Current system'!$G7)/'0. Current system'!$G7</f>
        <v>-0.14778223797328288</v>
      </c>
      <c r="X7" s="20">
        <f>(V7-'1. Diesel, no storage'!$G7)/'1. Diesel, no storage'!$G7</f>
        <v>-1.5740138688126726E-2</v>
      </c>
      <c r="Y7" s="20"/>
      <c r="AA7">
        <f t="shared" si="3"/>
        <v>14000.388914944122</v>
      </c>
      <c r="AE7" s="1"/>
      <c r="AF7" s="4" t="s">
        <v>26</v>
      </c>
      <c r="AG7" s="9">
        <v>0</v>
      </c>
      <c r="AH7" s="9">
        <f t="shared" si="4"/>
        <v>0</v>
      </c>
      <c r="AJ7" s="4" t="s">
        <v>12</v>
      </c>
      <c r="AK7" s="7">
        <v>111.57970299999999</v>
      </c>
      <c r="AL7" s="20">
        <f>(AK7-'0. Current system'!$G7)/'0. Current system'!$G7</f>
        <v>-0.13415369708276381</v>
      </c>
      <c r="AM7" s="20">
        <f>(AK7-'1. Diesel, no storage'!$G7)/'1. Diesel, no storage'!$G7</f>
        <v>0</v>
      </c>
      <c r="AN7" s="20">
        <f>(AK7-'2. Diesel-battery-storage'!$BE7)/'2. Diesel-battery-storage'!$BE7</f>
        <v>0</v>
      </c>
      <c r="AO7" s="20">
        <f t="shared" si="5"/>
        <v>0</v>
      </c>
      <c r="AP7">
        <f t="shared" si="6"/>
        <v>14224.280960172699</v>
      </c>
      <c r="AY7" s="1"/>
      <c r="AZ7" s="4" t="s">
        <v>26</v>
      </c>
      <c r="BA7" s="9">
        <v>0</v>
      </c>
      <c r="BB7" s="9">
        <f t="shared" si="7"/>
        <v>0</v>
      </c>
      <c r="BD7" s="4" t="s">
        <v>12</v>
      </c>
      <c r="BE7" s="7">
        <v>111.57970299999999</v>
      </c>
      <c r="BF7" s="20">
        <f>(BE7-'0. Current system'!$G7)/'0. Current system'!$G7</f>
        <v>-0.13415369708276381</v>
      </c>
      <c r="BG7" s="20">
        <f>(BE7-'1. Diesel, no storage'!$G7)/'1. Diesel, no storage'!$G7</f>
        <v>0</v>
      </c>
      <c r="BH7" s="20"/>
      <c r="BJ7">
        <f t="shared" si="8"/>
        <v>14224.280960172699</v>
      </c>
    </row>
    <row r="8" spans="1:70">
      <c r="A8" s="1"/>
      <c r="B8" s="4" t="s">
        <v>25</v>
      </c>
      <c r="C8" s="9">
        <v>320</v>
      </c>
      <c r="D8" s="9">
        <f t="shared" si="0"/>
        <v>1920</v>
      </c>
      <c r="F8" s="4" t="s">
        <v>13</v>
      </c>
      <c r="G8" s="7">
        <v>110.96924</v>
      </c>
      <c r="H8" s="20">
        <f>(G8-'0. Current system'!$G8)/'0. Current system'!$G8</f>
        <v>-0.3538016165994588</v>
      </c>
      <c r="I8" s="20">
        <f>(G8-'1. Diesel, no storage'!$G8)/'1. Diesel, no storage'!$G8</f>
        <v>-4.9699172535537427E-2</v>
      </c>
      <c r="J8" s="20"/>
      <c r="L8">
        <f t="shared" si="1"/>
        <v>222290.274684648</v>
      </c>
      <c r="P8" s="1"/>
      <c r="Q8" s="4" t="s">
        <v>25</v>
      </c>
      <c r="R8" s="9">
        <v>320</v>
      </c>
      <c r="S8" s="9">
        <f t="shared" si="2"/>
        <v>1920</v>
      </c>
      <c r="U8" s="4" t="s">
        <v>13</v>
      </c>
      <c r="V8" s="7">
        <v>106.74022100000001</v>
      </c>
      <c r="W8" s="20">
        <f>(V8-'0. Current system'!$G8)/'0. Current system'!$G8</f>
        <v>-0.37842812788465974</v>
      </c>
      <c r="X8" s="20">
        <f>(V8-'1. Diesel, no storage'!$G8)/'1. Diesel, no storage'!$G8</f>
        <v>-8.5914976618388927E-2</v>
      </c>
      <c r="Y8" s="20"/>
      <c r="AA8">
        <f t="shared" si="3"/>
        <v>213818.8298486142</v>
      </c>
      <c r="AE8" s="1"/>
      <c r="AF8" s="4" t="s">
        <v>25</v>
      </c>
      <c r="AG8" s="9">
        <v>218.58064899999999</v>
      </c>
      <c r="AH8" s="9">
        <f t="shared" si="4"/>
        <v>1311.483894</v>
      </c>
      <c r="AJ8" s="4" t="s">
        <v>13</v>
      </c>
      <c r="AK8" s="7">
        <v>111.20889</v>
      </c>
      <c r="AL8" s="20">
        <f>(AK8-'0. Current system'!$G8)/'0. Current system'!$G8</f>
        <v>-0.35240608174149335</v>
      </c>
      <c r="AM8" s="20">
        <f>(AK8-'1. Diesel, no storage'!$G8)/'1. Diesel, no storage'!$G8</f>
        <v>-4.7646895766751261E-2</v>
      </c>
      <c r="AN8" s="20">
        <f>(AK8-'2. Diesel-battery-storage'!$BE8)/'2. Diesel-battery-storage'!$BE8</f>
        <v>0.27827667962818359</v>
      </c>
      <c r="AO8" s="20">
        <f t="shared" si="5"/>
        <v>2.1596074732060659E-3</v>
      </c>
      <c r="AP8">
        <f t="shared" si="6"/>
        <v>222770.33453428687</v>
      </c>
      <c r="AY8" s="1"/>
      <c r="AZ8" s="4" t="s">
        <v>25</v>
      </c>
      <c r="BA8" s="9">
        <v>320</v>
      </c>
      <c r="BB8" s="9">
        <f t="shared" si="7"/>
        <v>1920</v>
      </c>
      <c r="BD8" s="4" t="s">
        <v>13</v>
      </c>
      <c r="BE8" s="7">
        <v>108.143157</v>
      </c>
      <c r="BF8" s="20">
        <f>(BE8-'0. Current system'!$G8)/'0. Current system'!$G8</f>
        <v>-0.37025852182793251</v>
      </c>
      <c r="BG8" s="20">
        <f>(BE8-'1. Diesel, no storage'!$G8)/'1. Diesel, no storage'!$G8</f>
        <v>-7.3900735179232638E-2</v>
      </c>
      <c r="BH8" s="20"/>
      <c r="BJ8">
        <f t="shared" si="8"/>
        <v>216629.14932817826</v>
      </c>
    </row>
    <row r="9" spans="1:70">
      <c r="A9" s="1"/>
      <c r="B9" s="4" t="s">
        <v>31</v>
      </c>
      <c r="C9" s="9">
        <v>45</v>
      </c>
      <c r="D9" s="9">
        <f t="shared" si="0"/>
        <v>270</v>
      </c>
      <c r="F9" s="4" t="s">
        <v>14</v>
      </c>
      <c r="G9" s="7">
        <v>88.133584999999997</v>
      </c>
      <c r="H9" s="20">
        <f>(G9-'0. Current system'!$G9)/'0. Current system'!$G9</f>
        <v>-0.56296099992954995</v>
      </c>
      <c r="I9" s="20">
        <f>(G9-'1. Diesel, no storage'!$G9)/'1. Diesel, no storage'!$G9</f>
        <v>-0.26044485793029654</v>
      </c>
      <c r="J9" s="20"/>
      <c r="L9">
        <f t="shared" si="1"/>
        <v>23268.914538039495</v>
      </c>
      <c r="P9" s="1"/>
      <c r="Q9" s="4" t="s">
        <v>31</v>
      </c>
      <c r="R9" s="9">
        <v>45</v>
      </c>
      <c r="S9" s="9">
        <f t="shared" si="2"/>
        <v>270</v>
      </c>
      <c r="U9" s="4" t="s">
        <v>14</v>
      </c>
      <c r="V9" s="7">
        <v>87.924668999999994</v>
      </c>
      <c r="W9" s="20">
        <f>(V9-'0. Current system'!$G9)/'0. Current system'!$G9</f>
        <v>-0.56399697775501478</v>
      </c>
      <c r="X9" s="20">
        <f>(V9-'1. Diesel, no storage'!$G9)/'1. Diesel, no storage'!$G9</f>
        <v>-0.26219793426391713</v>
      </c>
      <c r="Y9" s="20"/>
      <c r="AA9">
        <f t="shared" si="3"/>
        <v>23213.756807310299</v>
      </c>
      <c r="AE9" s="1"/>
      <c r="AF9" s="4" t="s">
        <v>31</v>
      </c>
      <c r="AG9" s="9">
        <v>40.954962999999999</v>
      </c>
      <c r="AH9" s="9">
        <f t="shared" si="4"/>
        <v>245.72977800000001</v>
      </c>
      <c r="AJ9" s="4" t="s">
        <v>14</v>
      </c>
      <c r="AK9" s="7">
        <v>114.17606499999999</v>
      </c>
      <c r="AL9" s="20">
        <f>(AK9-'0. Current system'!$G9)/'0. Current system'!$G9</f>
        <v>-0.43382090630287301</v>
      </c>
      <c r="AM9" s="20">
        <f>(AK9-'1. Diesel, no storage'!$G9)/'1. Diesel, no storage'!$G9</f>
        <v>-4.1914657482335554E-2</v>
      </c>
      <c r="AN9" s="20">
        <f>(AK9-'2. Diesel-battery-storage'!$BE9)/'2. Diesel-battery-storage'!$BE9</f>
        <v>0.24629511056381975</v>
      </c>
      <c r="AO9" s="20">
        <f t="shared" si="5"/>
        <v>0.29548871749628702</v>
      </c>
      <c r="AP9">
        <f t="shared" si="6"/>
        <v>30144.616252415501</v>
      </c>
      <c r="AY9" s="1"/>
      <c r="AZ9" s="4" t="s">
        <v>31</v>
      </c>
      <c r="BA9" s="9">
        <v>45</v>
      </c>
      <c r="BB9" s="9">
        <f t="shared" si="7"/>
        <v>270</v>
      </c>
      <c r="BD9" s="4" t="s">
        <v>14</v>
      </c>
      <c r="BE9" s="7">
        <v>100.77789</v>
      </c>
      <c r="BF9" s="20">
        <f>(BE9-'0. Current system'!$G9)/'0. Current system'!$G9</f>
        <v>-0.50026010771251617</v>
      </c>
      <c r="BG9" s="20">
        <f>(BE9-'1. Diesel, no storage'!$G9)/'1. Diesel, no storage'!$G9</f>
        <v>-0.154342731474784</v>
      </c>
      <c r="BH9" s="20"/>
      <c r="BJ9">
        <f t="shared" si="8"/>
        <v>26607.247607320885</v>
      </c>
    </row>
    <row r="10" spans="1:70">
      <c r="A10" s="1"/>
      <c r="B10" s="4" t="s">
        <v>28</v>
      </c>
      <c r="C10" s="9">
        <v>75</v>
      </c>
      <c r="D10" s="9">
        <f t="shared" si="0"/>
        <v>450</v>
      </c>
      <c r="F10" s="4" t="s">
        <v>15</v>
      </c>
      <c r="G10" s="7">
        <v>93.748254000000003</v>
      </c>
      <c r="H10" s="20">
        <f>(G10-'0. Current system'!$G10)/'0. Current system'!$G10</f>
        <v>-0.53471406895117002</v>
      </c>
      <c r="I10" s="20">
        <f>(G10-'1. Diesel, no storage'!$G10)/'1. Diesel, no storage'!$G10</f>
        <v>-0.20946874568256485</v>
      </c>
      <c r="J10" s="20"/>
      <c r="L10">
        <f t="shared" si="1"/>
        <v>44384.117031059344</v>
      </c>
      <c r="P10" s="1"/>
      <c r="Q10" s="4" t="s">
        <v>28</v>
      </c>
      <c r="R10" s="9">
        <v>51.420273999999999</v>
      </c>
      <c r="S10" s="9">
        <f t="shared" si="2"/>
        <v>308.52164399999998</v>
      </c>
      <c r="U10" s="4" t="s">
        <v>15</v>
      </c>
      <c r="V10" s="7">
        <v>94.216629999999995</v>
      </c>
      <c r="W10" s="20">
        <f>(V10-'0. Current system'!$G10)/'0. Current system'!$G10</f>
        <v>-0.53238945218293743</v>
      </c>
      <c r="X10" s="20">
        <f>(V10-'1. Diesel, no storage'!$G10)/'1. Diesel, no storage'!$G10</f>
        <v>-0.20551916954675567</v>
      </c>
      <c r="Y10" s="20"/>
      <c r="AA10">
        <f t="shared" si="3"/>
        <v>44605.864777221992</v>
      </c>
      <c r="AE10" s="1"/>
      <c r="AF10" s="4" t="s">
        <v>28</v>
      </c>
      <c r="AG10" s="9">
        <v>73.123335999999995</v>
      </c>
      <c r="AH10" s="9">
        <f t="shared" si="4"/>
        <v>438.74001599999997</v>
      </c>
      <c r="AJ10" s="4" t="s">
        <v>15</v>
      </c>
      <c r="AK10" s="7">
        <v>118.570806</v>
      </c>
      <c r="AL10" s="20">
        <f>(AK10-'0. Current system'!$G10)/'0. Current system'!$G10</f>
        <v>-0.41151620951873724</v>
      </c>
      <c r="AM10" s="20">
        <f>(AK10-'1. Diesel, no storage'!$G10)/'1. Diesel, no storage'!$G10</f>
        <v>-1.5281359150148561E-4</v>
      </c>
      <c r="AN10" s="20">
        <f>(AK10-'2. Diesel-battery-storage'!$BE10)/'2. Diesel-battery-storage'!$BE10</f>
        <v>0.26811827308042457</v>
      </c>
      <c r="AO10" s="20">
        <f t="shared" si="5"/>
        <v>0.26477881924072955</v>
      </c>
      <c r="AP10">
        <f t="shared" si="6"/>
        <v>56136.091368727204</v>
      </c>
      <c r="AY10" s="1"/>
      <c r="AZ10" s="4" t="s">
        <v>28</v>
      </c>
      <c r="BA10" s="9">
        <v>75</v>
      </c>
      <c r="BB10" s="9">
        <f t="shared" si="7"/>
        <v>450</v>
      </c>
      <c r="BD10" s="4" t="s">
        <v>15</v>
      </c>
      <c r="BE10" s="7">
        <v>109.42007700000001</v>
      </c>
      <c r="BF10" s="20">
        <f>(BE10-'0. Current system'!$G10)/'0. Current system'!$G10</f>
        <v>-0.45693258028699207</v>
      </c>
      <c r="BG10" s="20">
        <f>(BE10-'1. Diesel, no storage'!$G10)/'1. Diesel, no storage'!$G10</f>
        <v>-7.7316248275724267E-2</v>
      </c>
      <c r="BH10" s="20"/>
      <c r="BJ10">
        <f t="shared" si="8"/>
        <v>51803.775602833797</v>
      </c>
    </row>
    <row r="11" spans="1:70">
      <c r="A11" s="1"/>
      <c r="B11" s="4" t="s">
        <v>24</v>
      </c>
      <c r="C11" s="7">
        <v>2.3066490000000002</v>
      </c>
      <c r="D11" s="9">
        <f t="shared" si="0"/>
        <v>13.839894000000001</v>
      </c>
      <c r="F11" s="4" t="s">
        <v>16</v>
      </c>
      <c r="G11" s="7">
        <v>117.54768</v>
      </c>
      <c r="H11" s="20">
        <f>(G11-'0. Current system'!$G11)/'0. Current system'!$G11</f>
        <v>-0.38522438957696131</v>
      </c>
      <c r="I11" s="20">
        <f>(G11-'1. Diesel, no storage'!$G11)/'1. Diesel, no storage'!$G11</f>
        <v>-9.0343200821593861E-2</v>
      </c>
      <c r="J11" s="20"/>
      <c r="L11">
        <f t="shared" si="1"/>
        <v>1926.6674824459201</v>
      </c>
      <c r="P11" s="1"/>
      <c r="Q11" s="4" t="s">
        <v>24</v>
      </c>
      <c r="R11" s="7">
        <v>2.0217749999999999</v>
      </c>
      <c r="S11" s="9">
        <f t="shared" si="2"/>
        <v>12.130649999999999</v>
      </c>
      <c r="U11" s="4" t="s">
        <v>16</v>
      </c>
      <c r="V11" s="7">
        <v>111.67827</v>
      </c>
      <c r="W11" s="20">
        <f>(V11-'0. Current system'!$G11)/'0. Current system'!$G11</f>
        <v>-0.41592146599372332</v>
      </c>
      <c r="X11" s="20">
        <f>(V11-'1. Diesel, no storage'!$G11)/'1. Diesel, no storage'!$G11</f>
        <v>-0.13576433302654875</v>
      </c>
      <c r="Y11" s="20"/>
      <c r="AA11">
        <f t="shared" si="3"/>
        <v>1830.4649180004003</v>
      </c>
      <c r="AE11" s="1"/>
      <c r="AF11" s="4" t="s">
        <v>24</v>
      </c>
      <c r="AG11" s="7">
        <v>1.000003</v>
      </c>
      <c r="AH11" s="9">
        <f t="shared" si="4"/>
        <v>6.0000179999999999</v>
      </c>
      <c r="AJ11" s="4" t="s">
        <v>16</v>
      </c>
      <c r="AK11" s="7">
        <v>120.86994300000001</v>
      </c>
      <c r="AL11" s="20">
        <f>(AK11-'0. Current system'!$G11)/'0. Current system'!$G11</f>
        <v>-0.36784891892700139</v>
      </c>
      <c r="AM11" s="20">
        <f>(AK11-'1. Diesel, no storage'!$G11)/'1. Diesel, no storage'!$G11</f>
        <v>-6.4633470722209041E-2</v>
      </c>
      <c r="AN11" s="20">
        <f>(AK11-'2. Diesel-battery-storage'!$BE11)/'2. Diesel-battery-storage'!$BE11</f>
        <v>0.14198015313708814</v>
      </c>
      <c r="AO11" s="20">
        <f t="shared" si="5"/>
        <v>2.8263109914206785E-2</v>
      </c>
      <c r="AP11">
        <f t="shared" si="6"/>
        <v>1981.12121814036</v>
      </c>
      <c r="AY11" s="1"/>
      <c r="AZ11" s="4" t="s">
        <v>24</v>
      </c>
      <c r="BA11" s="7">
        <v>2.3066490000000002</v>
      </c>
      <c r="BB11" s="9">
        <f t="shared" si="7"/>
        <v>13.839894000000001</v>
      </c>
      <c r="BD11" s="4" t="s">
        <v>16</v>
      </c>
      <c r="BE11" s="7">
        <v>117.54768</v>
      </c>
      <c r="BF11" s="20">
        <f>(BE11-'0. Current system'!$G11)/'0. Current system'!$G11</f>
        <v>-0.38522438957696131</v>
      </c>
      <c r="BG11" s="20">
        <f>(BE11-'1. Diesel, no storage'!$G11)/'1. Diesel, no storage'!$G11</f>
        <v>-9.0343200821593861E-2</v>
      </c>
      <c r="BH11" s="20"/>
      <c r="BJ11">
        <f t="shared" si="8"/>
        <v>1926.6674824459196</v>
      </c>
    </row>
    <row r="12" spans="1:70">
      <c r="A12" s="1"/>
      <c r="B12" s="4" t="s">
        <v>27</v>
      </c>
      <c r="C12" s="9">
        <v>250</v>
      </c>
      <c r="D12" s="9">
        <f t="shared" si="0"/>
        <v>1500</v>
      </c>
      <c r="F12" s="4" t="s">
        <v>17</v>
      </c>
      <c r="G12" s="7">
        <v>95.742017000000004</v>
      </c>
      <c r="H12" s="20">
        <f>(G12-'0. Current system'!$G12)/'0. Current system'!$G12</f>
        <v>-0.48443784955706126</v>
      </c>
      <c r="I12" s="20">
        <f>(G12-'1. Diesel, no storage'!$G12)/'1. Diesel, no storage'!$G12</f>
        <v>-0.19376842266447575</v>
      </c>
      <c r="J12" s="20"/>
      <c r="L12">
        <f t="shared" si="1"/>
        <v>174353.2308468461</v>
      </c>
      <c r="P12" s="1"/>
      <c r="Q12" s="4" t="s">
        <v>27</v>
      </c>
      <c r="R12" s="9">
        <v>250</v>
      </c>
      <c r="S12" s="9">
        <f t="shared" si="2"/>
        <v>1500</v>
      </c>
      <c r="U12" s="4" t="s">
        <v>17</v>
      </c>
      <c r="V12" s="7">
        <v>91.223966000000004</v>
      </c>
      <c r="W12" s="20">
        <f>(V12-'0. Current system'!$G12)/'0. Current system'!$G12</f>
        <v>-0.50876714783548449</v>
      </c>
      <c r="X12" s="20">
        <f>(V12-'1. Diesel, no storage'!$G12)/'1. Diesel, no storage'!$G12</f>
        <v>-0.23181436631962501</v>
      </c>
      <c r="Y12" s="20"/>
      <c r="AA12">
        <f t="shared" si="3"/>
        <v>166125.52871148384</v>
      </c>
      <c r="AE12" s="1"/>
      <c r="AF12" s="4" t="s">
        <v>27</v>
      </c>
      <c r="AG12" s="9">
        <v>250</v>
      </c>
      <c r="AH12" s="9">
        <f t="shared" si="4"/>
        <v>1500</v>
      </c>
      <c r="AJ12" s="4" t="s">
        <v>17</v>
      </c>
      <c r="AK12" s="7">
        <v>107.039131</v>
      </c>
      <c r="AL12" s="20">
        <f>(AK12-'0. Current system'!$G12)/'0. Current system'!$G12</f>
        <v>-0.42360390673717035</v>
      </c>
      <c r="AM12" s="20">
        <f>(AK12-'1. Diesel, no storage'!$G12)/'1. Diesel, no storage'!$G12</f>
        <v>-9.8636835458001629E-2</v>
      </c>
      <c r="AN12" s="20">
        <f>(AK12-'2. Diesel-battery-storage'!$BE12)/'2. Diesel-battery-storage'!$BE12</f>
        <v>0.17555147831026768</v>
      </c>
      <c r="AO12" s="20">
        <f t="shared" si="5"/>
        <v>0.11799536247497264</v>
      </c>
      <c r="AP12">
        <f t="shared" si="6"/>
        <v>194926.1035193023</v>
      </c>
      <c r="AY12" s="1"/>
      <c r="AZ12" s="4" t="s">
        <v>27</v>
      </c>
      <c r="BA12" s="9">
        <v>250</v>
      </c>
      <c r="BB12" s="9">
        <f t="shared" si="7"/>
        <v>1500</v>
      </c>
      <c r="BD12" s="4" t="s">
        <v>17</v>
      </c>
      <c r="BE12" s="7">
        <v>98.126441999999997</v>
      </c>
      <c r="BF12" s="20">
        <f>(BE12-'0. Current system'!$G12)/'0. Current system'!$G12</f>
        <v>-0.47159793538886591</v>
      </c>
      <c r="BG12" s="20">
        <f>(BE12-'1. Diesel, no storage'!$G12)/'1. Diesel, no storage'!$G12</f>
        <v>-0.17368947729623421</v>
      </c>
      <c r="BH12" s="20"/>
      <c r="BJ12">
        <f t="shared" si="8"/>
        <v>178695.44364832505</v>
      </c>
    </row>
    <row r="13" spans="1:70">
      <c r="A13" s="1"/>
      <c r="B13" s="4" t="s">
        <v>22</v>
      </c>
      <c r="C13" s="9">
        <v>32.806589000000002</v>
      </c>
      <c r="D13" s="9">
        <f t="shared" si="0"/>
        <v>196.83953400000001</v>
      </c>
      <c r="F13" s="4" t="s">
        <v>18</v>
      </c>
      <c r="G13" s="7">
        <v>117.85174000000001</v>
      </c>
      <c r="H13" s="20">
        <f>(G13-'0. Current system'!$G13)/'0. Current system'!$G13</f>
        <v>-0.40444366998839687</v>
      </c>
      <c r="I13" s="20">
        <f>(G13-'1. Diesel, no storage'!$G13)/'1. Diesel, no storage'!$G13</f>
        <v>-3.548920914139099E-2</v>
      </c>
      <c r="J13" s="20"/>
      <c r="L13">
        <f t="shared" si="1"/>
        <v>32195.074210658997</v>
      </c>
      <c r="P13" s="1"/>
      <c r="Q13" s="4" t="s">
        <v>22</v>
      </c>
      <c r="R13" s="9">
        <v>44.776116000000002</v>
      </c>
      <c r="S13" s="9">
        <f t="shared" si="2"/>
        <v>268.65669600000001</v>
      </c>
      <c r="U13" s="4" t="s">
        <v>18</v>
      </c>
      <c r="V13" s="7">
        <v>111.608467</v>
      </c>
      <c r="W13" s="20">
        <f>(V13-'0. Current system'!$G13)/'0. Current system'!$G13</f>
        <v>-0.43599365605682938</v>
      </c>
      <c r="X13" s="20">
        <f>(V13-'1. Diesel, no storage'!$G13)/'1. Diesel, no storage'!$G13</f>
        <v>-8.6584799064596221E-2</v>
      </c>
      <c r="Y13" s="20"/>
      <c r="AA13">
        <f t="shared" si="3"/>
        <v>30489.519099190948</v>
      </c>
      <c r="AE13" s="1"/>
      <c r="AF13" s="4" t="s">
        <v>22</v>
      </c>
      <c r="AG13" s="9">
        <v>41.221412000000001</v>
      </c>
      <c r="AH13" s="9">
        <f t="shared" si="4"/>
        <v>247.328472</v>
      </c>
      <c r="AJ13" s="4" t="s">
        <v>18</v>
      </c>
      <c r="AK13" s="7">
        <v>121.708809</v>
      </c>
      <c r="AL13" s="20">
        <f>(AK13-'0. Current system'!$G13)/'0. Current system'!$G13</f>
        <v>-0.3849522152314156</v>
      </c>
      <c r="AM13" s="20">
        <f>(AK13-'1. Diesel, no storage'!$G13)/'1. Diesel, no storage'!$G13</f>
        <v>-3.9225587755481149E-3</v>
      </c>
      <c r="AN13" s="20">
        <f>(AK13-'2. Diesel-battery-storage'!$BE13)/'2. Diesel-battery-storage'!$BE13</f>
        <v>0.22706513574703466</v>
      </c>
      <c r="AO13" s="20">
        <f t="shared" si="5"/>
        <v>3.2728146398177872E-2</v>
      </c>
      <c r="AP13">
        <f t="shared" si="6"/>
        <v>33248.759191016848</v>
      </c>
      <c r="AY13" s="1"/>
      <c r="AZ13" s="4" t="s">
        <v>22</v>
      </c>
      <c r="BA13" s="9">
        <v>32.806589000000002</v>
      </c>
      <c r="BB13" s="9">
        <f t="shared" si="7"/>
        <v>196.83953400000001</v>
      </c>
      <c r="BD13" s="4" t="s">
        <v>18</v>
      </c>
      <c r="BE13" s="7">
        <v>117.85174000000001</v>
      </c>
      <c r="BF13" s="20">
        <f>(BE13-'0. Current system'!$G13)/'0. Current system'!$G13</f>
        <v>-0.40444366998839687</v>
      </c>
      <c r="BG13" s="20">
        <f>(BE13-'1. Diesel, no storage'!$G13)/'1. Diesel, no storage'!$G13</f>
        <v>-3.548920914139099E-2</v>
      </c>
      <c r="BH13" s="20"/>
      <c r="BJ13">
        <f t="shared" si="8"/>
        <v>32195.074210659004</v>
      </c>
    </row>
    <row r="14" spans="1:70">
      <c r="A14" s="1"/>
      <c r="B14" s="4" t="s">
        <v>30</v>
      </c>
      <c r="C14" s="9">
        <v>24.402024000000001</v>
      </c>
      <c r="D14" s="9">
        <f t="shared" si="0"/>
        <v>146.41214400000001</v>
      </c>
      <c r="F14" s="4" t="s">
        <v>19</v>
      </c>
      <c r="G14" s="7">
        <v>61.815058000000001</v>
      </c>
      <c r="H14" s="20">
        <f>(G14-'0. Current system'!$G14)/'0. Current system'!$G14</f>
        <v>-0.60679066634190493</v>
      </c>
      <c r="I14" s="20">
        <f>(G14-'1. Diesel, no storage'!$G14)/'1. Diesel, no storage'!$G14</f>
        <v>-6.2122011932485288E-2</v>
      </c>
      <c r="J14" s="20"/>
      <c r="L14">
        <f t="shared" si="1"/>
        <v>11257.548129947743</v>
      </c>
      <c r="P14" s="1"/>
      <c r="Q14" s="4" t="s">
        <v>30</v>
      </c>
      <c r="R14" s="9">
        <v>26.561373</v>
      </c>
      <c r="S14" s="9">
        <f t="shared" si="2"/>
        <v>159.36823799999999</v>
      </c>
      <c r="U14" s="4" t="s">
        <v>19</v>
      </c>
      <c r="V14" s="7">
        <v>62.12144</v>
      </c>
      <c r="W14" s="20">
        <f>(V14-'0. Current system'!$G14)/'0. Current system'!$G14</f>
        <v>-0.60484175185468014</v>
      </c>
      <c r="X14" s="20">
        <f>(V14-'1. Diesel, no storage'!$G14)/'1. Diesel, no storage'!$G14</f>
        <v>-5.7473485456297227E-2</v>
      </c>
      <c r="Y14" s="20"/>
      <c r="AA14">
        <f t="shared" si="3"/>
        <v>11313.345502025441</v>
      </c>
      <c r="AE14" s="1"/>
      <c r="AF14" s="4" t="s">
        <v>30</v>
      </c>
      <c r="AG14" s="9">
        <v>30</v>
      </c>
      <c r="AH14" s="9">
        <f t="shared" si="4"/>
        <v>180</v>
      </c>
      <c r="AJ14" s="4" t="s">
        <v>19</v>
      </c>
      <c r="AK14" s="7">
        <v>77.978117999999995</v>
      </c>
      <c r="AL14" s="20">
        <f>(AK14-'0. Current system'!$G14)/'0. Current system'!$G14</f>
        <v>-0.50397646122580175</v>
      </c>
      <c r="AM14" s="20">
        <f>(AK14-'1. Diesel, no storage'!$G14)/'1. Diesel, no storage'!$G14</f>
        <v>0.18310914507483353</v>
      </c>
      <c r="AN14" s="20">
        <f>(AK14-'2. Diesel-battery-storage'!$BE14)/'2. Diesel-battery-storage'!$BE14</f>
        <v>0.50982743638357586</v>
      </c>
      <c r="AO14" s="20">
        <f t="shared" si="5"/>
        <v>0.2614744776264708</v>
      </c>
      <c r="AP14">
        <f t="shared" si="6"/>
        <v>14201.109724558799</v>
      </c>
      <c r="AY14" s="1"/>
      <c r="AZ14" s="4" t="s">
        <v>30</v>
      </c>
      <c r="BA14" s="9">
        <v>29.226647</v>
      </c>
      <c r="BB14" s="9">
        <f t="shared" si="7"/>
        <v>175.359882</v>
      </c>
      <c r="BD14" s="4" t="s">
        <v>19</v>
      </c>
      <c r="BE14" s="7">
        <v>62.356620999999997</v>
      </c>
      <c r="BF14" s="20">
        <f>(BE14-'0. Current system'!$G14)/'0. Current system'!$G14</f>
        <v>-0.60334575124752976</v>
      </c>
      <c r="BG14" s="20">
        <f>(BE14-'1. Diesel, no storage'!$G14)/'1. Diesel, no storage'!$G14</f>
        <v>-5.3905243506063939E-2</v>
      </c>
      <c r="BH14" s="20"/>
      <c r="BJ14">
        <f t="shared" si="8"/>
        <v>11356.175804008601</v>
      </c>
    </row>
    <row r="15" spans="1:70">
      <c r="A15" s="1"/>
      <c r="P15" s="1"/>
      <c r="AE15" s="1"/>
      <c r="AY15" s="1"/>
    </row>
    <row r="16" spans="1:70">
      <c r="A16" s="1"/>
      <c r="B16" t="s">
        <v>20</v>
      </c>
      <c r="L16">
        <f>SUM(L5:L14)/SUM(L32:L41)</f>
        <v>93.848657096629722</v>
      </c>
      <c r="M16">
        <f>SUM(L7:L14)/SUM(L34:L41)</f>
        <v>101.51386441609938</v>
      </c>
      <c r="P16" s="1"/>
      <c r="Q16" t="s">
        <v>20</v>
      </c>
      <c r="AA16">
        <f>SUM(AA5:AA14)/SUM(AA32:AA41)</f>
        <v>91.127653105460297</v>
      </c>
      <c r="AB16">
        <f>SUM(AA7:AA14)/SUM(AA34:AA41)</f>
        <v>97.92873228678377</v>
      </c>
      <c r="AE16" s="1"/>
      <c r="AF16" t="s">
        <v>20</v>
      </c>
      <c r="AP16">
        <f>SUM(AP5:AP14)/SUM(AP32:AP41)</f>
        <v>105.73735931061292</v>
      </c>
      <c r="AQ16">
        <f>SUM(AP7:AP14)/SUM(AP34:AP41)</f>
        <v>109.98768521374311</v>
      </c>
      <c r="AY16" s="1"/>
      <c r="AZ16" t="s">
        <v>20</v>
      </c>
      <c r="BJ16">
        <f>SUM(BJ5:BJ14)/SUM(BJ32:BJ41)</f>
        <v>95.251314452431117</v>
      </c>
      <c r="BK16">
        <f>SUM(BJ7:BJ14)/SUM(BJ34:BJ41)</f>
        <v>103.36194466048184</v>
      </c>
    </row>
    <row r="17" spans="1:70" ht="18.75" customHeight="1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 t="s">
        <v>157</v>
      </c>
      <c r="K17" s="10" t="s">
        <v>158</v>
      </c>
      <c r="L17" s="10"/>
      <c r="M17" s="10"/>
      <c r="N17" s="10"/>
      <c r="O17" s="10"/>
      <c r="P17" s="1"/>
      <c r="Q17" s="2" t="s">
        <v>0</v>
      </c>
      <c r="R17" s="2" t="s">
        <v>1</v>
      </c>
      <c r="S17" s="2" t="s">
        <v>2</v>
      </c>
      <c r="T17" s="2" t="s">
        <v>3</v>
      </c>
      <c r="U17" s="2" t="s">
        <v>4</v>
      </c>
      <c r="V17" s="2" t="s">
        <v>5</v>
      </c>
      <c r="W17" s="2" t="s">
        <v>6</v>
      </c>
      <c r="X17" s="2" t="s">
        <v>7</v>
      </c>
      <c r="Y17" s="10" t="s">
        <v>157</v>
      </c>
      <c r="Z17" s="10" t="s">
        <v>158</v>
      </c>
      <c r="AA17" s="10"/>
      <c r="AB17" s="10"/>
      <c r="AC17" s="10"/>
      <c r="AD17" s="10"/>
      <c r="AE17" s="1"/>
      <c r="AF17" s="2" t="s">
        <v>0</v>
      </c>
      <c r="AG17" s="2" t="s">
        <v>1</v>
      </c>
      <c r="AH17" s="2" t="s">
        <v>2</v>
      </c>
      <c r="AI17" s="2" t="s">
        <v>3</v>
      </c>
      <c r="AJ17" s="2" t="s">
        <v>4</v>
      </c>
      <c r="AK17" s="2" t="s">
        <v>5</v>
      </c>
      <c r="AL17" s="2" t="s">
        <v>6</v>
      </c>
      <c r="AM17" s="2" t="s">
        <v>7</v>
      </c>
      <c r="AN17" s="10" t="s">
        <v>157</v>
      </c>
      <c r="AO17" s="10" t="s">
        <v>158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"/>
      <c r="AZ17" s="2" t="s">
        <v>0</v>
      </c>
      <c r="BA17" s="2" t="s">
        <v>1</v>
      </c>
      <c r="BB17" s="2" t="s">
        <v>2</v>
      </c>
      <c r="BC17" s="2" t="s">
        <v>3</v>
      </c>
      <c r="BD17" s="2" t="s">
        <v>4</v>
      </c>
      <c r="BE17" s="2" t="s">
        <v>5</v>
      </c>
      <c r="BF17" s="2" t="s">
        <v>6</v>
      </c>
      <c r="BG17" s="2" t="s">
        <v>7</v>
      </c>
      <c r="BH17" s="10" t="s">
        <v>157</v>
      </c>
      <c r="BI17" s="10" t="s">
        <v>158</v>
      </c>
      <c r="BJ17" s="10"/>
      <c r="BK17" s="10"/>
      <c r="BL17" s="10"/>
      <c r="BM17" s="10"/>
    </row>
    <row r="18" spans="1:70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K18" s="10"/>
      <c r="L18" s="10"/>
      <c r="M18" s="10"/>
      <c r="N18" s="10"/>
      <c r="O18" s="10"/>
      <c r="P18" s="1"/>
      <c r="Q18" s="2" t="s">
        <v>8</v>
      </c>
      <c r="R18" s="2"/>
      <c r="S18" s="2"/>
      <c r="T18" s="2"/>
      <c r="U18" s="2"/>
      <c r="V18" s="2"/>
      <c r="W18" s="2"/>
      <c r="X18" s="2"/>
      <c r="Y18" s="10"/>
      <c r="Z18" s="10"/>
      <c r="AA18" s="10"/>
      <c r="AB18" s="10"/>
      <c r="AC18" s="10"/>
      <c r="AD18" s="10"/>
      <c r="AE18" s="1"/>
      <c r="AF18" s="2" t="s">
        <v>8</v>
      </c>
      <c r="AG18" s="2"/>
      <c r="AH18" s="2"/>
      <c r="AI18" s="2"/>
      <c r="AJ18" s="2"/>
      <c r="AK18" s="2"/>
      <c r="AL18" s="2"/>
      <c r="AM18" s="2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"/>
      <c r="AZ18" s="2" t="s">
        <v>8</v>
      </c>
      <c r="BA18" s="2"/>
      <c r="BB18" s="2"/>
      <c r="BC18" s="2"/>
      <c r="BD18" s="2"/>
      <c r="BE18" s="2"/>
      <c r="BF18" s="2"/>
      <c r="BG18" s="2"/>
      <c r="BH18" s="10"/>
      <c r="BI18" s="10"/>
      <c r="BJ18" s="10"/>
      <c r="BK18" s="10"/>
      <c r="BL18" s="10"/>
      <c r="BM18" s="10"/>
    </row>
    <row r="19" spans="1:70">
      <c r="A19" s="1"/>
      <c r="B19" s="2" t="s">
        <v>9</v>
      </c>
      <c r="C19" s="3" t="s">
        <v>10</v>
      </c>
      <c r="D19" s="3" t="s">
        <v>10</v>
      </c>
      <c r="E19" s="19">
        <v>41.697679000000001</v>
      </c>
      <c r="F19" s="19" t="s">
        <v>10</v>
      </c>
      <c r="G19" s="19" t="s">
        <v>10</v>
      </c>
      <c r="H19" s="19">
        <v>89.103695999999999</v>
      </c>
      <c r="I19" s="19">
        <v>92.191543999999993</v>
      </c>
      <c r="J19" s="47">
        <f>H19/('Max capacities'!$E4)</f>
        <v>0.2408208</v>
      </c>
      <c r="K19" s="47">
        <f>I19/('Max capacities'!$F4)</f>
        <v>0.92191543999999992</v>
      </c>
      <c r="L19" s="11"/>
      <c r="M19" s="11"/>
      <c r="N19" s="11"/>
      <c r="O19" s="11"/>
      <c r="P19" s="1"/>
      <c r="Q19" s="2" t="s">
        <v>9</v>
      </c>
      <c r="R19" s="3" t="s">
        <v>10</v>
      </c>
      <c r="S19" s="3" t="s">
        <v>10</v>
      </c>
      <c r="T19" s="19">
        <v>41.661797</v>
      </c>
      <c r="U19" s="19" t="s">
        <v>10</v>
      </c>
      <c r="V19" s="19" t="s">
        <v>10</v>
      </c>
      <c r="W19" s="19">
        <v>89.240720999999994</v>
      </c>
      <c r="X19" s="19">
        <v>92.108883000000006</v>
      </c>
      <c r="Y19" s="47">
        <f>W19/('Max capacities'!$E4)</f>
        <v>0.24119113783783783</v>
      </c>
      <c r="Z19" s="47">
        <f>X19/('Max capacities'!$F4)</f>
        <v>0.92108883000000008</v>
      </c>
      <c r="AA19" s="11"/>
      <c r="AB19" s="11"/>
      <c r="AC19" s="11"/>
      <c r="AD19" s="11"/>
      <c r="AE19" s="1"/>
      <c r="AF19" s="2" t="s">
        <v>9</v>
      </c>
      <c r="AG19" s="3" t="s">
        <v>10</v>
      </c>
      <c r="AH19" s="3" t="s">
        <v>10</v>
      </c>
      <c r="AI19" s="19">
        <v>33.032708</v>
      </c>
      <c r="AJ19" s="19" t="s">
        <v>10</v>
      </c>
      <c r="AK19" s="19" t="s">
        <v>10</v>
      </c>
      <c r="AL19" s="19">
        <v>157.82086100000001</v>
      </c>
      <c r="AM19" s="19">
        <v>17.674772999999998</v>
      </c>
      <c r="AN19" s="47">
        <f>AL19/('Max capacities'!$E4)</f>
        <v>0.4265428675675676</v>
      </c>
      <c r="AO19" s="47">
        <f>AM19/('Max capacities'!$F4)</f>
        <v>0.17674772999999999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"/>
      <c r="AZ19" s="2" t="s">
        <v>9</v>
      </c>
      <c r="BA19" s="3" t="s">
        <v>10</v>
      </c>
      <c r="BB19" s="3" t="s">
        <v>10</v>
      </c>
      <c r="BC19" s="19">
        <v>41.661797</v>
      </c>
      <c r="BD19" s="19" t="s">
        <v>10</v>
      </c>
      <c r="BE19" s="19" t="s">
        <v>10</v>
      </c>
      <c r="BF19" s="19">
        <v>89.240720999999994</v>
      </c>
      <c r="BG19" s="19">
        <v>92.108883000000006</v>
      </c>
      <c r="BH19" s="47">
        <f>BF19/('Max capacities'!$E4)</f>
        <v>0.24119113783783783</v>
      </c>
      <c r="BI19" s="47">
        <f>BG19/('Max capacities'!$F4)</f>
        <v>0.92108883000000008</v>
      </c>
      <c r="BJ19" s="11"/>
      <c r="BK19" s="11"/>
      <c r="BL19" s="11"/>
      <c r="BM19" s="11"/>
    </row>
    <row r="20" spans="1:70">
      <c r="A20" s="1"/>
      <c r="B20" s="2" t="s">
        <v>11</v>
      </c>
      <c r="C20" s="3">
        <v>0</v>
      </c>
      <c r="D20" s="3" t="s">
        <v>10</v>
      </c>
      <c r="E20" s="19">
        <v>75.508919000000006</v>
      </c>
      <c r="F20" s="19" t="s">
        <v>10</v>
      </c>
      <c r="G20" s="19" t="s">
        <v>10</v>
      </c>
      <c r="H20" s="19">
        <v>354.35835400000002</v>
      </c>
      <c r="I20" s="19">
        <v>150</v>
      </c>
      <c r="J20" s="47">
        <f>H20/('Max capacities'!$E5)</f>
        <v>0.6216813228070176</v>
      </c>
      <c r="K20" s="47">
        <f>I20/('Max capacities'!$F5)</f>
        <v>1</v>
      </c>
      <c r="L20" s="11"/>
      <c r="M20" s="11"/>
      <c r="N20" s="11"/>
      <c r="O20" s="11"/>
      <c r="P20" s="1"/>
      <c r="Q20" s="2" t="s">
        <v>11</v>
      </c>
      <c r="R20" s="3">
        <v>0</v>
      </c>
      <c r="S20" s="3" t="s">
        <v>10</v>
      </c>
      <c r="T20" s="19">
        <v>75.508919000000006</v>
      </c>
      <c r="U20" s="19" t="s">
        <v>10</v>
      </c>
      <c r="V20" s="19" t="s">
        <v>10</v>
      </c>
      <c r="W20" s="19">
        <v>354.35835400000002</v>
      </c>
      <c r="X20" s="19">
        <v>150</v>
      </c>
      <c r="Y20" s="47">
        <f>W20/('Max capacities'!$E5)</f>
        <v>0.6216813228070176</v>
      </c>
      <c r="Z20" s="47">
        <f>X20/('Max capacities'!$F5)</f>
        <v>1</v>
      </c>
      <c r="AA20" s="11"/>
      <c r="AB20" s="11"/>
      <c r="AC20" s="11"/>
      <c r="AD20" s="11"/>
      <c r="AE20" s="1"/>
      <c r="AF20" s="2" t="s">
        <v>11</v>
      </c>
      <c r="AG20" s="3">
        <v>10</v>
      </c>
      <c r="AH20" s="3" t="s">
        <v>10</v>
      </c>
      <c r="AI20" s="19">
        <v>69.266918000000004</v>
      </c>
      <c r="AJ20" s="19" t="s">
        <v>10</v>
      </c>
      <c r="AK20" s="19" t="s">
        <v>10</v>
      </c>
      <c r="AL20" s="19">
        <v>350.62498699999998</v>
      </c>
      <c r="AM20" s="19">
        <v>76.330600000000004</v>
      </c>
      <c r="AN20" s="47">
        <f>AL20/('Max capacities'!$E5)</f>
        <v>0.61513155614035087</v>
      </c>
      <c r="AO20" s="47">
        <f>AM20/('Max capacities'!$F5)</f>
        <v>0.50887066666666669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"/>
      <c r="AZ20" s="2" t="s">
        <v>11</v>
      </c>
      <c r="BA20" s="3">
        <v>0</v>
      </c>
      <c r="BB20" s="3" t="s">
        <v>10</v>
      </c>
      <c r="BC20" s="19">
        <v>75.508919000000006</v>
      </c>
      <c r="BD20" s="19" t="s">
        <v>10</v>
      </c>
      <c r="BE20" s="19" t="s">
        <v>10</v>
      </c>
      <c r="BF20" s="19">
        <v>354.35835400000002</v>
      </c>
      <c r="BG20" s="19">
        <v>150</v>
      </c>
      <c r="BH20" s="47">
        <f>BF20/('Max capacities'!$E5)</f>
        <v>0.6216813228070176</v>
      </c>
      <c r="BI20" s="47">
        <f>BG20/('Max capacities'!$F5)</f>
        <v>1</v>
      </c>
      <c r="BJ20" s="11"/>
      <c r="BK20" s="11"/>
      <c r="BL20" s="11"/>
      <c r="BM20" s="11"/>
    </row>
    <row r="21" spans="1:70">
      <c r="A21" s="1"/>
      <c r="B21" s="2" t="s">
        <v>12</v>
      </c>
      <c r="C21" s="3" t="s">
        <v>10</v>
      </c>
      <c r="D21" s="3" t="s">
        <v>10</v>
      </c>
      <c r="E21" s="19">
        <v>0</v>
      </c>
      <c r="F21" s="19">
        <v>15</v>
      </c>
      <c r="G21" s="19">
        <v>6.6</v>
      </c>
      <c r="H21" s="19">
        <v>0</v>
      </c>
      <c r="I21" s="19">
        <v>0</v>
      </c>
      <c r="J21" s="47">
        <f>H21/('Max capacities'!$E6)</f>
        <v>0</v>
      </c>
      <c r="K21" s="47">
        <f>I21/('Max capacities'!$F6)</f>
        <v>0</v>
      </c>
      <c r="L21" s="11"/>
      <c r="M21" s="11"/>
      <c r="N21" s="11"/>
      <c r="O21" s="11"/>
      <c r="P21" s="1"/>
      <c r="Q21" s="2" t="s">
        <v>12</v>
      </c>
      <c r="R21" s="3" t="s">
        <v>10</v>
      </c>
      <c r="S21" s="3" t="s">
        <v>10</v>
      </c>
      <c r="T21" s="19">
        <v>0</v>
      </c>
      <c r="U21" s="19">
        <v>15</v>
      </c>
      <c r="V21" s="19">
        <v>6.6</v>
      </c>
      <c r="W21" s="19">
        <v>0</v>
      </c>
      <c r="X21" s="19">
        <v>8.9466090000000005</v>
      </c>
      <c r="Y21" s="47">
        <f>W21/('Max capacities'!$E6)</f>
        <v>0</v>
      </c>
      <c r="Z21" s="47">
        <f>X21/('Max capacities'!$F6)</f>
        <v>2.9822030000000003E-2</v>
      </c>
      <c r="AA21" s="11"/>
      <c r="AB21" s="11"/>
      <c r="AC21" s="11"/>
      <c r="AD21" s="11"/>
      <c r="AE21" s="1"/>
      <c r="AF21" s="2" t="s">
        <v>12</v>
      </c>
      <c r="AG21" s="3" t="s">
        <v>10</v>
      </c>
      <c r="AH21" s="3" t="s">
        <v>10</v>
      </c>
      <c r="AI21" s="19">
        <v>0</v>
      </c>
      <c r="AJ21" s="19">
        <v>15</v>
      </c>
      <c r="AK21" s="19">
        <v>6.6</v>
      </c>
      <c r="AL21" s="19">
        <v>0</v>
      </c>
      <c r="AM21" s="19">
        <v>0</v>
      </c>
      <c r="AN21" s="47">
        <f>AL21/('Max capacities'!$E6)</f>
        <v>0</v>
      </c>
      <c r="AO21" s="47">
        <f>AM21/('Max capacities'!$F6)</f>
        <v>0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"/>
      <c r="AZ21" s="2" t="s">
        <v>12</v>
      </c>
      <c r="BA21" s="3" t="s">
        <v>10</v>
      </c>
      <c r="BB21" s="3" t="s">
        <v>10</v>
      </c>
      <c r="BC21" s="19">
        <v>0</v>
      </c>
      <c r="BD21" s="19">
        <v>15</v>
      </c>
      <c r="BE21" s="19">
        <v>6.6</v>
      </c>
      <c r="BF21" s="19">
        <v>0</v>
      </c>
      <c r="BG21" s="19">
        <v>0</v>
      </c>
      <c r="BH21" s="47">
        <f>BF21/('Max capacities'!$E6)</f>
        <v>0</v>
      </c>
      <c r="BI21" s="47">
        <f>BG21/('Max capacities'!$F6)</f>
        <v>0</v>
      </c>
      <c r="BJ21" s="11"/>
      <c r="BK21" s="11"/>
      <c r="BL21" s="11"/>
      <c r="BM21" s="11"/>
    </row>
    <row r="22" spans="1:70">
      <c r="A22" s="1"/>
      <c r="B22" s="2" t="s">
        <v>13</v>
      </c>
      <c r="C22" s="3">
        <v>10</v>
      </c>
      <c r="D22" s="3">
        <v>0</v>
      </c>
      <c r="E22" s="19">
        <v>0</v>
      </c>
      <c r="F22" s="19">
        <v>100</v>
      </c>
      <c r="G22" s="19">
        <v>15</v>
      </c>
      <c r="H22" s="19">
        <v>1212.1123829999999</v>
      </c>
      <c r="I22" s="19">
        <v>110.03115</v>
      </c>
      <c r="J22" s="47">
        <f>H22/('Max capacities'!$E7)</f>
        <v>0.55096017409090903</v>
      </c>
      <c r="K22" s="47">
        <f>I22/('Max capacities'!$F7)</f>
        <v>0.18338525</v>
      </c>
      <c r="L22" s="11"/>
      <c r="M22" s="11"/>
      <c r="N22" s="11"/>
      <c r="O22" s="11"/>
      <c r="P22" s="1"/>
      <c r="Q22" s="2" t="s">
        <v>13</v>
      </c>
      <c r="R22" s="3">
        <v>10</v>
      </c>
      <c r="S22" s="3">
        <v>0</v>
      </c>
      <c r="T22" s="19">
        <v>0</v>
      </c>
      <c r="U22" s="19">
        <v>100</v>
      </c>
      <c r="V22" s="19">
        <v>15</v>
      </c>
      <c r="W22" s="19">
        <v>1212.1123829999999</v>
      </c>
      <c r="X22" s="19">
        <v>110.03115</v>
      </c>
      <c r="Y22" s="47">
        <f>W22/('Max capacities'!$E7)</f>
        <v>0.55096017409090903</v>
      </c>
      <c r="Z22" s="47">
        <f>X22/('Max capacities'!$F7)</f>
        <v>0.18338525</v>
      </c>
      <c r="AA22" s="11"/>
      <c r="AB22" s="11"/>
      <c r="AC22" s="11"/>
      <c r="AD22" s="11"/>
      <c r="AE22" s="1"/>
      <c r="AF22" s="2" t="s">
        <v>13</v>
      </c>
      <c r="AG22" s="3">
        <v>10</v>
      </c>
      <c r="AH22" s="3">
        <v>0</v>
      </c>
      <c r="AI22" s="19">
        <v>0</v>
      </c>
      <c r="AJ22" s="19">
        <v>197.227814</v>
      </c>
      <c r="AK22" s="19">
        <v>15</v>
      </c>
      <c r="AL22" s="19">
        <v>300.609126</v>
      </c>
      <c r="AM22" s="19">
        <v>34.743802000000002</v>
      </c>
      <c r="AN22" s="47">
        <f>AL22/('Max capacities'!$E7)</f>
        <v>0.13664051181818182</v>
      </c>
      <c r="AO22" s="47">
        <f>AM22/('Max capacities'!$F7)</f>
        <v>5.7906336666666669E-2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"/>
      <c r="AZ22" s="2" t="s">
        <v>13</v>
      </c>
      <c r="BA22" s="3">
        <v>10</v>
      </c>
      <c r="BB22" s="3">
        <v>0</v>
      </c>
      <c r="BC22" s="19">
        <v>0</v>
      </c>
      <c r="BD22" s="19">
        <v>138.117549</v>
      </c>
      <c r="BE22" s="19">
        <v>15</v>
      </c>
      <c r="BF22" s="19">
        <v>654.58932900000002</v>
      </c>
      <c r="BG22" s="19">
        <v>168.95450099999999</v>
      </c>
      <c r="BH22" s="47">
        <f>BF22/('Max capacities'!$E7)</f>
        <v>0.2975406040909091</v>
      </c>
      <c r="BI22" s="47">
        <f>BG22/('Max capacities'!$F7)</f>
        <v>0.28159083499999998</v>
      </c>
      <c r="BJ22" s="11"/>
      <c r="BK22" s="11"/>
      <c r="BL22" s="11"/>
      <c r="BM22" s="11"/>
    </row>
    <row r="23" spans="1:70">
      <c r="A23" s="1"/>
      <c r="B23" s="2" t="s">
        <v>14</v>
      </c>
      <c r="C23" s="3" t="s">
        <v>10</v>
      </c>
      <c r="D23" s="3" t="s">
        <v>10</v>
      </c>
      <c r="E23" s="19">
        <v>0</v>
      </c>
      <c r="F23" s="19">
        <v>6.1177970000000004</v>
      </c>
      <c r="G23" s="19">
        <v>0</v>
      </c>
      <c r="H23" s="19">
        <v>92.710476999999997</v>
      </c>
      <c r="I23" s="19">
        <v>80.223934</v>
      </c>
      <c r="J23" s="47">
        <f>H23/('Max capacities'!$E8)</f>
        <v>0.19725633404255319</v>
      </c>
      <c r="K23" s="47">
        <f>I23/('Max capacities'!$F8)</f>
        <v>0.66853278333333332</v>
      </c>
      <c r="L23" s="11"/>
      <c r="M23" s="11"/>
      <c r="N23" s="11"/>
      <c r="O23" s="11"/>
      <c r="P23" s="1"/>
      <c r="Q23" s="2" t="s">
        <v>14</v>
      </c>
      <c r="R23" s="3" t="s">
        <v>10</v>
      </c>
      <c r="S23" s="3" t="s">
        <v>10</v>
      </c>
      <c r="T23" s="19">
        <v>0</v>
      </c>
      <c r="U23" s="19">
        <v>11.248056</v>
      </c>
      <c r="V23" s="19">
        <v>0</v>
      </c>
      <c r="W23" s="19">
        <v>68.181968999999995</v>
      </c>
      <c r="X23" s="19">
        <v>63.505211000000003</v>
      </c>
      <c r="Y23" s="47">
        <f>W23/('Max capacities'!$E8)</f>
        <v>0.14506801914893616</v>
      </c>
      <c r="Z23" s="47">
        <f>X23/('Max capacities'!$F8)</f>
        <v>0.52921009166666666</v>
      </c>
      <c r="AA23" s="11"/>
      <c r="AB23" s="11"/>
      <c r="AC23" s="11"/>
      <c r="AD23" s="11"/>
      <c r="AE23" s="1"/>
      <c r="AF23" s="2" t="s">
        <v>14</v>
      </c>
      <c r="AG23" s="3" t="s">
        <v>10</v>
      </c>
      <c r="AH23" s="3" t="s">
        <v>10</v>
      </c>
      <c r="AI23" s="19">
        <v>0</v>
      </c>
      <c r="AJ23" s="19">
        <v>27.607990000000001</v>
      </c>
      <c r="AK23" s="19">
        <v>0</v>
      </c>
      <c r="AL23" s="19">
        <v>20.058917000000001</v>
      </c>
      <c r="AM23" s="19">
        <v>10.859793</v>
      </c>
      <c r="AN23" s="47">
        <f>AL23/('Max capacities'!$E8)</f>
        <v>4.2678546808510638E-2</v>
      </c>
      <c r="AO23" s="47">
        <f>AM23/('Max capacities'!$F8)</f>
        <v>9.0498275000000003E-2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"/>
      <c r="AZ23" s="2" t="s">
        <v>14</v>
      </c>
      <c r="BA23" s="3" t="s">
        <v>10</v>
      </c>
      <c r="BB23" s="3" t="s">
        <v>10</v>
      </c>
      <c r="BC23" s="19">
        <v>0</v>
      </c>
      <c r="BD23" s="19">
        <v>19.343406000000002</v>
      </c>
      <c r="BE23" s="19">
        <v>0</v>
      </c>
      <c r="BF23" s="19">
        <v>36.885733000000002</v>
      </c>
      <c r="BG23" s="19">
        <v>38.226804999999999</v>
      </c>
      <c r="BH23" s="47">
        <f>BF23/('Max capacities'!$E8)</f>
        <v>7.8480282978723406E-2</v>
      </c>
      <c r="BI23" s="47">
        <f>BG23/('Max capacities'!$F8)</f>
        <v>0.31855670833333333</v>
      </c>
      <c r="BJ23" s="11"/>
      <c r="BK23" s="11"/>
      <c r="BL23" s="11"/>
      <c r="BM23" s="11"/>
    </row>
    <row r="24" spans="1:70">
      <c r="A24" s="1"/>
      <c r="B24" s="2" t="s">
        <v>15</v>
      </c>
      <c r="C24" s="3" t="s">
        <v>10</v>
      </c>
      <c r="D24" s="3" t="s">
        <v>10</v>
      </c>
      <c r="E24" s="19">
        <v>0</v>
      </c>
      <c r="F24" s="19">
        <v>15.346435</v>
      </c>
      <c r="G24" s="19" t="s">
        <v>10</v>
      </c>
      <c r="H24" s="19">
        <v>157.66396599999999</v>
      </c>
      <c r="I24" s="19">
        <v>145.375225</v>
      </c>
      <c r="J24" s="47">
        <f>H24/('Max capacities'!$E9)</f>
        <v>0.19707995749999999</v>
      </c>
      <c r="K24" s="47">
        <f>I24/('Max capacities'!$F9)</f>
        <v>0.72687612499999998</v>
      </c>
      <c r="L24" s="11"/>
      <c r="M24" s="11"/>
      <c r="N24" s="11"/>
      <c r="O24" s="11"/>
      <c r="P24" s="1"/>
      <c r="Q24" s="2" t="s">
        <v>15</v>
      </c>
      <c r="R24" s="3" t="s">
        <v>10</v>
      </c>
      <c r="S24" s="3" t="s">
        <v>10</v>
      </c>
      <c r="T24" s="19">
        <v>0</v>
      </c>
      <c r="U24" s="19">
        <v>30</v>
      </c>
      <c r="V24" s="19" t="s">
        <v>10</v>
      </c>
      <c r="W24" s="19">
        <v>113.346445</v>
      </c>
      <c r="X24" s="19">
        <v>101.85773</v>
      </c>
      <c r="Y24" s="47">
        <f>W24/('Max capacities'!$E9)</f>
        <v>0.14168305624999999</v>
      </c>
      <c r="Z24" s="47">
        <f>X24/('Max capacities'!$F9)</f>
        <v>0.50928865000000001</v>
      </c>
      <c r="AA24" s="11"/>
      <c r="AB24" s="11"/>
      <c r="AC24" s="11"/>
      <c r="AD24" s="11"/>
      <c r="AE24" s="1"/>
      <c r="AF24" s="2" t="s">
        <v>15</v>
      </c>
      <c r="AG24" s="3" t="s">
        <v>10</v>
      </c>
      <c r="AH24" s="3" t="s">
        <v>10</v>
      </c>
      <c r="AI24" s="19">
        <v>0</v>
      </c>
      <c r="AJ24" s="19">
        <v>49.921297000000003</v>
      </c>
      <c r="AK24" s="19" t="s">
        <v>10</v>
      </c>
      <c r="AL24" s="19">
        <v>77.027940999999998</v>
      </c>
      <c r="AM24" s="19">
        <v>5.7950499999999998</v>
      </c>
      <c r="AN24" s="47">
        <f>AL24/('Max capacities'!$E9)</f>
        <v>9.628492625E-2</v>
      </c>
      <c r="AO24" s="47">
        <f>AM24/('Max capacities'!$F9)</f>
        <v>2.8975249999999998E-2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"/>
      <c r="AZ24" s="2" t="s">
        <v>15</v>
      </c>
      <c r="BA24" s="3" t="s">
        <v>10</v>
      </c>
      <c r="BB24" s="3" t="s">
        <v>10</v>
      </c>
      <c r="BC24" s="19">
        <v>0</v>
      </c>
      <c r="BD24" s="19">
        <v>38.942455000000002</v>
      </c>
      <c r="BE24" s="19" t="s">
        <v>10</v>
      </c>
      <c r="BF24" s="19">
        <v>109.54749</v>
      </c>
      <c r="BG24" s="19">
        <v>42.584144000000002</v>
      </c>
      <c r="BH24" s="47">
        <f>BF24/('Max capacities'!$E9)</f>
        <v>0.13693436249999999</v>
      </c>
      <c r="BI24" s="47">
        <f>BG24/('Max capacities'!$F9)</f>
        <v>0.21292072000000001</v>
      </c>
      <c r="BJ24" s="11"/>
      <c r="BK24" s="11"/>
      <c r="BL24" s="11"/>
      <c r="BM24" s="11"/>
    </row>
    <row r="25" spans="1:70">
      <c r="A25" s="1"/>
      <c r="B25" s="2" t="s">
        <v>16</v>
      </c>
      <c r="C25" s="3" t="s">
        <v>10</v>
      </c>
      <c r="D25" s="3" t="s">
        <v>10</v>
      </c>
      <c r="E25" s="19">
        <v>0</v>
      </c>
      <c r="F25" s="19">
        <v>1.5</v>
      </c>
      <c r="G25" s="19" t="s">
        <v>10</v>
      </c>
      <c r="H25" s="19">
        <v>4.8661029999999998</v>
      </c>
      <c r="I25" s="19">
        <v>0.86150099999999996</v>
      </c>
      <c r="J25" s="47">
        <f>H25/('Max capacities'!$E10)</f>
        <v>3.6587240601503757E-2</v>
      </c>
      <c r="K25" s="47">
        <f>I25/('Max capacities'!$F10)</f>
        <v>2.8716699999999998E-2</v>
      </c>
      <c r="L25" s="11"/>
      <c r="M25" s="11"/>
      <c r="N25" s="11"/>
      <c r="O25" s="11"/>
      <c r="P25" s="1"/>
      <c r="Q25" s="2" t="s">
        <v>16</v>
      </c>
      <c r="R25" s="3" t="s">
        <v>10</v>
      </c>
      <c r="S25" s="3" t="s">
        <v>10</v>
      </c>
      <c r="T25" s="19">
        <v>0</v>
      </c>
      <c r="U25" s="19">
        <v>1.5</v>
      </c>
      <c r="V25" s="19" t="s">
        <v>10</v>
      </c>
      <c r="W25" s="19">
        <v>4.8645389999999997</v>
      </c>
      <c r="X25" s="19">
        <v>1.309564</v>
      </c>
      <c r="Y25" s="47">
        <f>W25/('Max capacities'!$E10)</f>
        <v>3.6575481203007514E-2</v>
      </c>
      <c r="Z25" s="47">
        <f>X25/('Max capacities'!$F10)</f>
        <v>4.3652133333333329E-2</v>
      </c>
      <c r="AA25" s="11"/>
      <c r="AB25" s="11"/>
      <c r="AC25" s="11"/>
      <c r="AD25" s="11"/>
      <c r="AE25" s="1"/>
      <c r="AF25" s="2" t="s">
        <v>16</v>
      </c>
      <c r="AG25" s="3" t="s">
        <v>10</v>
      </c>
      <c r="AH25" s="3" t="s">
        <v>10</v>
      </c>
      <c r="AI25" s="19">
        <v>0</v>
      </c>
      <c r="AJ25" s="19">
        <v>2.0082629999999999</v>
      </c>
      <c r="AK25" s="19" t="s">
        <v>10</v>
      </c>
      <c r="AL25" s="19">
        <v>1.8742380000000001</v>
      </c>
      <c r="AM25" s="19">
        <v>5.9556999999999999E-2</v>
      </c>
      <c r="AN25" s="47">
        <f>AL25/('Max capacities'!$E10)</f>
        <v>1.4092015037593986E-2</v>
      </c>
      <c r="AO25" s="47">
        <f>AM25/('Max capacities'!$F10)</f>
        <v>1.9852333333333335E-3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"/>
      <c r="AZ25" s="2" t="s">
        <v>16</v>
      </c>
      <c r="BA25" s="3" t="s">
        <v>10</v>
      </c>
      <c r="BB25" s="3" t="s">
        <v>10</v>
      </c>
      <c r="BC25" s="19">
        <v>0</v>
      </c>
      <c r="BD25" s="19">
        <v>1.5</v>
      </c>
      <c r="BE25" s="19" t="s">
        <v>10</v>
      </c>
      <c r="BF25" s="19">
        <v>4.8661029999999998</v>
      </c>
      <c r="BG25" s="19">
        <v>0.86150099999999996</v>
      </c>
      <c r="BH25" s="47">
        <f>BF25/('Max capacities'!$E10)</f>
        <v>3.6587240601503757E-2</v>
      </c>
      <c r="BI25" s="47">
        <f>BG25/('Max capacities'!$F10)</f>
        <v>2.8716699999999998E-2</v>
      </c>
      <c r="BJ25" s="11"/>
      <c r="BK25" s="11"/>
      <c r="BL25" s="11"/>
      <c r="BM25" s="11"/>
    </row>
    <row r="26" spans="1:70">
      <c r="A26" s="1"/>
      <c r="B26" s="2" t="s">
        <v>17</v>
      </c>
      <c r="C26" s="3">
        <v>41.4</v>
      </c>
      <c r="D26" s="3" t="s">
        <v>10</v>
      </c>
      <c r="E26" s="19">
        <v>0</v>
      </c>
      <c r="F26" s="19">
        <v>81.008469000000005</v>
      </c>
      <c r="G26" s="19" t="s">
        <v>10</v>
      </c>
      <c r="H26" s="19">
        <v>433.50940800000001</v>
      </c>
      <c r="I26" s="19">
        <v>400</v>
      </c>
      <c r="J26" s="47">
        <f>H26/('Max capacities'!$E11)</f>
        <v>0.28900627200000001</v>
      </c>
      <c r="K26" s="47">
        <f>I26/('Max capacities'!$F11)</f>
        <v>1</v>
      </c>
      <c r="L26" s="11"/>
      <c r="M26" s="11"/>
      <c r="N26" s="11"/>
      <c r="O26" s="11"/>
      <c r="P26" s="1"/>
      <c r="Q26" s="2" t="s">
        <v>17</v>
      </c>
      <c r="R26" s="3">
        <v>41.4</v>
      </c>
      <c r="S26" s="3" t="s">
        <v>10</v>
      </c>
      <c r="T26" s="19">
        <v>0</v>
      </c>
      <c r="U26" s="19">
        <v>92.842234000000005</v>
      </c>
      <c r="V26" s="19" t="s">
        <v>10</v>
      </c>
      <c r="W26" s="19">
        <v>338.96832599999999</v>
      </c>
      <c r="X26" s="19">
        <v>365.578013</v>
      </c>
      <c r="Y26" s="47">
        <f>W26/('Max capacities'!$E11)</f>
        <v>0.22597888399999999</v>
      </c>
      <c r="Z26" s="47">
        <f>X26/('Max capacities'!$F11)</f>
        <v>0.91394503250000003</v>
      </c>
      <c r="AA26" s="11"/>
      <c r="AB26" s="11"/>
      <c r="AC26" s="11"/>
      <c r="AD26" s="11"/>
      <c r="AE26" s="1"/>
      <c r="AF26" s="2" t="s">
        <v>17</v>
      </c>
      <c r="AG26" s="3">
        <v>41.4</v>
      </c>
      <c r="AH26" s="3" t="s">
        <v>10</v>
      </c>
      <c r="AI26" s="19">
        <v>0</v>
      </c>
      <c r="AJ26" s="19">
        <v>148.31697700000001</v>
      </c>
      <c r="AK26" s="19" t="s">
        <v>10</v>
      </c>
      <c r="AL26" s="19">
        <v>237.245148</v>
      </c>
      <c r="AM26" s="19">
        <v>71.543142000000003</v>
      </c>
      <c r="AN26" s="47">
        <f>AL26/('Max capacities'!$E11)</f>
        <v>0.15816343199999999</v>
      </c>
      <c r="AO26" s="47">
        <f>AM26/('Max capacities'!$F11)</f>
        <v>0.17885785500000001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"/>
      <c r="AZ26" s="2" t="s">
        <v>17</v>
      </c>
      <c r="BA26" s="3">
        <v>41.4</v>
      </c>
      <c r="BB26" s="3" t="s">
        <v>10</v>
      </c>
      <c r="BC26" s="19">
        <v>0</v>
      </c>
      <c r="BD26" s="19">
        <v>108.459808</v>
      </c>
      <c r="BE26" s="19" t="s">
        <v>10</v>
      </c>
      <c r="BF26" s="19">
        <v>362.58408400000002</v>
      </c>
      <c r="BG26" s="19">
        <v>239.89014399999999</v>
      </c>
      <c r="BH26" s="47">
        <f>BF26/('Max capacities'!$E11)</f>
        <v>0.24172272266666667</v>
      </c>
      <c r="BI26" s="47">
        <f>BG26/('Max capacities'!$F11)</f>
        <v>0.59972535999999999</v>
      </c>
      <c r="BJ26" s="11"/>
      <c r="BK26" s="11"/>
      <c r="BL26" s="11"/>
      <c r="BM26" s="11"/>
    </row>
    <row r="27" spans="1:70">
      <c r="A27" s="1"/>
      <c r="B27" s="2" t="s">
        <v>18</v>
      </c>
      <c r="C27" s="3" t="s">
        <v>10</v>
      </c>
      <c r="D27" s="3" t="s">
        <v>10</v>
      </c>
      <c r="E27" s="19">
        <v>0</v>
      </c>
      <c r="F27" s="19">
        <v>27.051563999999999</v>
      </c>
      <c r="G27" s="19" t="s">
        <v>10</v>
      </c>
      <c r="H27" s="19">
        <v>72.840368999999995</v>
      </c>
      <c r="I27" s="19">
        <v>7.9222960000000002</v>
      </c>
      <c r="J27" s="47">
        <f>H27/('Max capacities'!$E12)</f>
        <v>0.20811533999999998</v>
      </c>
      <c r="K27" s="47">
        <f>I27/('Max capacities'!$F12)</f>
        <v>7.9222960000000009E-2</v>
      </c>
      <c r="L27" s="11"/>
      <c r="M27" s="11"/>
      <c r="N27" s="11"/>
      <c r="O27" s="11"/>
      <c r="P27" s="1"/>
      <c r="Q27" s="2" t="s">
        <v>18</v>
      </c>
      <c r="R27" s="3" t="s">
        <v>10</v>
      </c>
      <c r="S27" s="3" t="s">
        <v>10</v>
      </c>
      <c r="T27" s="19">
        <v>0</v>
      </c>
      <c r="U27" s="19">
        <v>21.663858999999999</v>
      </c>
      <c r="V27" s="19" t="s">
        <v>10</v>
      </c>
      <c r="W27" s="19">
        <v>105.367031</v>
      </c>
      <c r="X27" s="19">
        <v>21.584164000000001</v>
      </c>
      <c r="Y27" s="47">
        <f>W27/('Max capacities'!$E12)</f>
        <v>0.30104865999999997</v>
      </c>
      <c r="Z27" s="47">
        <f>X27/('Max capacities'!$F12)</f>
        <v>0.21584164</v>
      </c>
      <c r="AA27" s="11"/>
      <c r="AB27" s="11"/>
      <c r="AC27" s="11"/>
      <c r="AD27" s="11"/>
      <c r="AE27" s="1"/>
      <c r="AF27" s="2" t="s">
        <v>18</v>
      </c>
      <c r="AG27" s="3" t="s">
        <v>10</v>
      </c>
      <c r="AH27" s="3" t="s">
        <v>10</v>
      </c>
      <c r="AI27" s="19">
        <v>0</v>
      </c>
      <c r="AJ27" s="19">
        <v>30</v>
      </c>
      <c r="AK27" s="19" t="s">
        <v>10</v>
      </c>
      <c r="AL27" s="19">
        <v>44.872269000000003</v>
      </c>
      <c r="AM27" s="19">
        <v>2.2000000000000002</v>
      </c>
      <c r="AN27" s="47">
        <f>AL27/('Max capacities'!$E12)</f>
        <v>0.12820648285714287</v>
      </c>
      <c r="AO27" s="47">
        <f>AM27/('Max capacities'!$F12)</f>
        <v>2.2000000000000002E-2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"/>
      <c r="AZ27" s="2" t="s">
        <v>18</v>
      </c>
      <c r="BA27" s="3" t="s">
        <v>10</v>
      </c>
      <c r="BB27" s="3" t="s">
        <v>10</v>
      </c>
      <c r="BC27" s="19">
        <v>0</v>
      </c>
      <c r="BD27" s="19">
        <v>27.051563999999999</v>
      </c>
      <c r="BE27" s="19" t="s">
        <v>10</v>
      </c>
      <c r="BF27" s="19">
        <v>72.840368999999995</v>
      </c>
      <c r="BG27" s="19">
        <v>7.9222960000000002</v>
      </c>
      <c r="BH27" s="47">
        <f>BF27/('Max capacities'!$E12)</f>
        <v>0.20811533999999998</v>
      </c>
      <c r="BI27" s="47">
        <f>BG27/('Max capacities'!$F12)</f>
        <v>7.9222960000000009E-2</v>
      </c>
      <c r="BJ27" s="11"/>
      <c r="BK27" s="11"/>
      <c r="BL27" s="11"/>
      <c r="BM27" s="11"/>
    </row>
    <row r="28" spans="1:70">
      <c r="A28" s="1"/>
      <c r="B28" s="2" t="s">
        <v>19</v>
      </c>
      <c r="C28" s="3" t="s">
        <v>10</v>
      </c>
      <c r="D28" s="3" t="s">
        <v>10</v>
      </c>
      <c r="E28" s="19">
        <v>0</v>
      </c>
      <c r="F28" s="19">
        <v>0</v>
      </c>
      <c r="G28" s="19">
        <v>8</v>
      </c>
      <c r="H28" s="19">
        <v>50.943582999999997</v>
      </c>
      <c r="I28" s="19">
        <v>44.717267</v>
      </c>
      <c r="J28" s="47">
        <f>H28/('Max capacities'!$E13)</f>
        <v>0.11074691956521739</v>
      </c>
      <c r="K28" s="47">
        <f>I28/('Max capacities'!$F13)</f>
        <v>0.37264389166666667</v>
      </c>
      <c r="L28" s="11"/>
      <c r="M28" s="11"/>
      <c r="N28" s="11"/>
      <c r="O28" s="11"/>
      <c r="P28" s="1"/>
      <c r="Q28" s="2" t="s">
        <v>19</v>
      </c>
      <c r="R28" s="3" t="s">
        <v>10</v>
      </c>
      <c r="S28" s="3" t="s">
        <v>10</v>
      </c>
      <c r="T28" s="19">
        <v>0</v>
      </c>
      <c r="U28" s="19">
        <v>0.44512000000000002</v>
      </c>
      <c r="V28" s="19">
        <v>8</v>
      </c>
      <c r="W28" s="19">
        <v>50.859647000000002</v>
      </c>
      <c r="X28" s="19">
        <v>39.268259</v>
      </c>
      <c r="Y28" s="47">
        <f>W28/('Max capacities'!$E13)</f>
        <v>0.11056445000000001</v>
      </c>
      <c r="Z28" s="47">
        <f>X28/('Max capacities'!$F13)</f>
        <v>0.32723549166666666</v>
      </c>
      <c r="AA28" s="11"/>
      <c r="AB28" s="11"/>
      <c r="AC28" s="11"/>
      <c r="AD28" s="11"/>
      <c r="AE28" s="1"/>
      <c r="AF28" s="2" t="s">
        <v>19</v>
      </c>
      <c r="AG28" s="3" t="s">
        <v>10</v>
      </c>
      <c r="AH28" s="3" t="s">
        <v>10</v>
      </c>
      <c r="AI28" s="19">
        <v>0</v>
      </c>
      <c r="AJ28" s="19">
        <v>7.3105320000000003</v>
      </c>
      <c r="AK28" s="19">
        <v>8</v>
      </c>
      <c r="AL28" s="19">
        <v>37.659771999999997</v>
      </c>
      <c r="AM28" s="19">
        <v>10.062004</v>
      </c>
      <c r="AN28" s="47">
        <f>AL28/('Max capacities'!$E13)</f>
        <v>8.1869069565217389E-2</v>
      </c>
      <c r="AO28" s="47">
        <f>AM28/('Max capacities'!$F13)</f>
        <v>8.3850033333333338E-2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"/>
      <c r="AZ28" s="2" t="s">
        <v>19</v>
      </c>
      <c r="BA28" s="3" t="s">
        <v>10</v>
      </c>
      <c r="BB28" s="3" t="s">
        <v>10</v>
      </c>
      <c r="BC28" s="19">
        <v>0</v>
      </c>
      <c r="BD28" s="19">
        <v>0</v>
      </c>
      <c r="BE28" s="19">
        <v>8</v>
      </c>
      <c r="BF28" s="19">
        <v>52.849832999999997</v>
      </c>
      <c r="BG28" s="19">
        <v>39.073070999999999</v>
      </c>
      <c r="BH28" s="47">
        <f>BF28/('Max capacities'!$E13)</f>
        <v>0.11489094130434782</v>
      </c>
      <c r="BI28" s="47">
        <f>BG28/('Max capacities'!$F13)</f>
        <v>0.32560892499999999</v>
      </c>
      <c r="BJ28" s="11"/>
      <c r="BK28" s="11"/>
      <c r="BL28" s="11"/>
      <c r="BM28" s="11"/>
    </row>
    <row r="29" spans="1:70" ht="74.5" customHeight="1">
      <c r="A29" s="1"/>
      <c r="B29" s="8" t="s">
        <v>47</v>
      </c>
      <c r="J29" s="10" t="s">
        <v>48</v>
      </c>
      <c r="K29" s="10" t="s">
        <v>49</v>
      </c>
      <c r="L29" s="10" t="s">
        <v>99</v>
      </c>
      <c r="M29" s="10" t="s">
        <v>106</v>
      </c>
      <c r="N29" s="10" t="s">
        <v>111</v>
      </c>
      <c r="O29" s="10" t="s">
        <v>112</v>
      </c>
      <c r="P29" s="1"/>
      <c r="Q29" s="8" t="s">
        <v>47</v>
      </c>
      <c r="Y29" s="10" t="s">
        <v>48</v>
      </c>
      <c r="Z29" s="10" t="s">
        <v>49</v>
      </c>
      <c r="AA29" s="10" t="s">
        <v>99</v>
      </c>
      <c r="AB29" s="10" t="s">
        <v>106</v>
      </c>
      <c r="AC29" s="10" t="s">
        <v>111</v>
      </c>
      <c r="AD29" s="10" t="s">
        <v>112</v>
      </c>
      <c r="AE29" s="1"/>
      <c r="AF29" s="8" t="s">
        <v>47</v>
      </c>
      <c r="AN29" s="10" t="s">
        <v>48</v>
      </c>
      <c r="AO29" s="10" t="s">
        <v>49</v>
      </c>
      <c r="AP29" s="10" t="s">
        <v>99</v>
      </c>
      <c r="AQ29" s="10" t="s">
        <v>106</v>
      </c>
      <c r="AR29" s="10" t="s">
        <v>111</v>
      </c>
      <c r="AS29" s="10" t="s">
        <v>113</v>
      </c>
      <c r="AT29" s="10" t="s">
        <v>125</v>
      </c>
      <c r="AU29" s="10" t="s">
        <v>107</v>
      </c>
      <c r="AV29" s="10" t="s">
        <v>110</v>
      </c>
      <c r="AW29" s="10" t="s">
        <v>116</v>
      </c>
      <c r="AX29" s="10" t="s">
        <v>285</v>
      </c>
      <c r="AY29" s="1"/>
      <c r="AZ29" s="8" t="s">
        <v>47</v>
      </c>
      <c r="BH29" s="10" t="s">
        <v>48</v>
      </c>
      <c r="BI29" s="10" t="s">
        <v>49</v>
      </c>
      <c r="BJ29" s="10" t="s">
        <v>99</v>
      </c>
      <c r="BK29" s="10" t="s">
        <v>106</v>
      </c>
      <c r="BL29" s="10" t="s">
        <v>111</v>
      </c>
      <c r="BM29" s="10" t="s">
        <v>113</v>
      </c>
      <c r="BN29" s="10" t="s">
        <v>125</v>
      </c>
      <c r="BO29" s="10" t="s">
        <v>107</v>
      </c>
      <c r="BP29" s="10" t="s">
        <v>110</v>
      </c>
      <c r="BQ29" s="10" t="s">
        <v>116</v>
      </c>
      <c r="BR29" s="10" t="s">
        <v>285</v>
      </c>
    </row>
    <row r="30" spans="1:70" ht="29.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K30" s="10"/>
      <c r="L30" s="10"/>
      <c r="M30" s="10"/>
      <c r="N30" s="10"/>
      <c r="O30" s="10"/>
      <c r="P30" s="1"/>
      <c r="Q30" s="2" t="s">
        <v>0</v>
      </c>
      <c r="R30" s="2" t="s">
        <v>1</v>
      </c>
      <c r="S30" s="2" t="s">
        <v>2</v>
      </c>
      <c r="T30" s="2" t="s">
        <v>3</v>
      </c>
      <c r="U30" s="2" t="s">
        <v>4</v>
      </c>
      <c r="V30" s="2" t="s">
        <v>5</v>
      </c>
      <c r="W30" s="2" t="s">
        <v>6</v>
      </c>
      <c r="X30" s="2" t="s">
        <v>7</v>
      </c>
      <c r="Y30" s="10"/>
      <c r="Z30" s="10"/>
      <c r="AA30" s="10"/>
      <c r="AB30" s="10"/>
      <c r="AC30" s="10"/>
      <c r="AD30" s="10"/>
      <c r="AE30" s="1"/>
      <c r="AF30" s="2" t="s">
        <v>0</v>
      </c>
      <c r="AG30" s="2" t="s">
        <v>1</v>
      </c>
      <c r="AH30" s="2" t="s">
        <v>2</v>
      </c>
      <c r="AI30" s="2" t="s">
        <v>3</v>
      </c>
      <c r="AJ30" s="2" t="s">
        <v>4</v>
      </c>
      <c r="AK30" s="2" t="s">
        <v>5</v>
      </c>
      <c r="AL30" s="2" t="s">
        <v>6</v>
      </c>
      <c r="AM30" s="2" t="s">
        <v>7</v>
      </c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"/>
      <c r="AZ30" s="2" t="s">
        <v>0</v>
      </c>
      <c r="BA30" s="2" t="s">
        <v>1</v>
      </c>
      <c r="BB30" s="2" t="s">
        <v>2</v>
      </c>
      <c r="BC30" s="2" t="s">
        <v>3</v>
      </c>
      <c r="BD30" s="2" t="s">
        <v>4</v>
      </c>
      <c r="BE30" s="2" t="s">
        <v>5</v>
      </c>
      <c r="BF30" s="2" t="s">
        <v>6</v>
      </c>
      <c r="BG30" s="2" t="s">
        <v>7</v>
      </c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</row>
    <row r="31" spans="1:70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K31" s="10"/>
      <c r="L31" s="10"/>
      <c r="M31" s="10"/>
      <c r="N31" s="10"/>
      <c r="O31" s="10"/>
      <c r="P31" s="1"/>
      <c r="Q31" s="2" t="s">
        <v>8</v>
      </c>
      <c r="R31" s="2"/>
      <c r="S31" s="2"/>
      <c r="T31" s="2"/>
      <c r="U31" s="2"/>
      <c r="V31" s="2"/>
      <c r="W31" s="2"/>
      <c r="X31" s="2"/>
      <c r="Y31" s="10"/>
      <c r="Z31" s="10"/>
      <c r="AA31" s="10"/>
      <c r="AB31" s="10"/>
      <c r="AC31" s="10"/>
      <c r="AD31" s="10"/>
      <c r="AE31" s="1"/>
      <c r="AF31" s="2" t="s">
        <v>8</v>
      </c>
      <c r="AG31" s="2"/>
      <c r="AH31" s="2"/>
      <c r="AI31" s="2"/>
      <c r="AJ31" s="2"/>
      <c r="AK31" s="2"/>
      <c r="AL31" s="2"/>
      <c r="AM31" s="2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"/>
      <c r="AZ31" s="2" t="s">
        <v>8</v>
      </c>
      <c r="BA31" s="2"/>
      <c r="BB31" s="2"/>
      <c r="BC31" s="2"/>
      <c r="BD31" s="2"/>
      <c r="BE31" s="2"/>
      <c r="BF31" s="2"/>
      <c r="BG31" s="2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</row>
    <row r="32" spans="1:70">
      <c r="A32" s="1"/>
      <c r="B32" s="2" t="s">
        <v>9</v>
      </c>
      <c r="C32" s="3" t="s">
        <v>10</v>
      </c>
      <c r="D32" s="3" t="s">
        <v>10</v>
      </c>
      <c r="E32" s="19">
        <v>33.830100999999999</v>
      </c>
      <c r="F32" s="19" t="s">
        <v>10</v>
      </c>
      <c r="G32" s="19" t="s">
        <v>10</v>
      </c>
      <c r="H32" s="19">
        <v>107.647282</v>
      </c>
      <c r="I32" s="19">
        <v>295.538657</v>
      </c>
      <c r="J32" s="12">
        <f>H32/(SUM(C32:I32))</f>
        <v>0.24632341183632531</v>
      </c>
      <c r="K32" s="12">
        <f>I32/(SUM(D32:J32))</f>
        <v>0.6758840497819073</v>
      </c>
      <c r="L32" s="17">
        <f>SUM(C32:I32)</f>
        <v>437.01603999999998</v>
      </c>
      <c r="M32" s="24">
        <f>E32*E$57</f>
        <v>22.327866660000002</v>
      </c>
      <c r="N32" s="24">
        <f>(M32-'0. Current system'!$L32)</f>
        <v>-259.04349702000002</v>
      </c>
      <c r="O32" s="12">
        <f>(M32-'0. Current system'!$L32)/'0. Current system'!$L32</f>
        <v>-0.92064627200160576</v>
      </c>
      <c r="P32" s="1"/>
      <c r="Q32" s="2" t="s">
        <v>9</v>
      </c>
      <c r="R32" s="3" t="s">
        <v>10</v>
      </c>
      <c r="S32" s="3" t="s">
        <v>10</v>
      </c>
      <c r="T32" s="19">
        <v>33.784961000000003</v>
      </c>
      <c r="U32" s="19" t="s">
        <v>10</v>
      </c>
      <c r="V32" s="19" t="s">
        <v>10</v>
      </c>
      <c r="W32" s="19">
        <v>101.18634</v>
      </c>
      <c r="X32" s="19">
        <v>302.04473899999999</v>
      </c>
      <c r="Y32" s="12">
        <f>W32/(SUM(R32:X32))</f>
        <v>0.2315391901862458</v>
      </c>
      <c r="Z32" s="12">
        <f>X32/(SUM(S32:Y32))</f>
        <v>0.69078653233348586</v>
      </c>
      <c r="AA32" s="17">
        <f>SUM(R32:X32)</f>
        <v>437.01603999999998</v>
      </c>
      <c r="AB32" s="24">
        <f>T32*T$57</f>
        <v>22.298074260000003</v>
      </c>
      <c r="AC32" s="24">
        <f>(AB32-'0. Current system'!$L32)</f>
        <v>-259.07328941999998</v>
      </c>
      <c r="AD32" s="12">
        <f>(AB32-'0. Current system'!$L32)/'0. Current system'!$L32</f>
        <v>-0.92075215484487138</v>
      </c>
      <c r="AE32" s="1"/>
      <c r="AF32" s="2" t="s">
        <v>9</v>
      </c>
      <c r="AG32" s="3" t="s">
        <v>10</v>
      </c>
      <c r="AH32" s="3" t="s">
        <v>10</v>
      </c>
      <c r="AI32" s="19">
        <v>83.473933000000002</v>
      </c>
      <c r="AJ32" s="19" t="s">
        <v>10</v>
      </c>
      <c r="AK32" s="19" t="s">
        <v>10</v>
      </c>
      <c r="AL32" s="19">
        <v>275.57151900000002</v>
      </c>
      <c r="AM32" s="19">
        <v>77.970588000000006</v>
      </c>
      <c r="AN32" s="12">
        <f>AL32/(SUM(AG32:AM32))</f>
        <v>0.63057529650399102</v>
      </c>
      <c r="AO32" s="12">
        <f>AM32/(SUM(AH32:AN32))</f>
        <v>0.17815878216532124</v>
      </c>
      <c r="AP32" s="17">
        <f>SUM(AG32:AM32)</f>
        <v>437.01604000000003</v>
      </c>
      <c r="AQ32" s="24">
        <f>AI32*AI$57</f>
        <v>55.092795780000003</v>
      </c>
      <c r="AR32" s="24">
        <f>(AQ32-'0. Current system'!$L32)</f>
        <v>-226.27856789999998</v>
      </c>
      <c r="AS32" s="24">
        <f>(AQ32-'2. Diesel-battery-storage'!$BK32)</f>
        <v>0</v>
      </c>
      <c r="AT32" s="24"/>
      <c r="AU32" s="24">
        <f>-(AK5-'0. Current system'!$G5)*SUM(AG32:AM32)/(AQ32-'0. Current system'!$L32)</f>
        <v>-199.19748240603147</v>
      </c>
      <c r="AV32" s="24"/>
      <c r="AW32" s="24"/>
      <c r="AX32" s="41"/>
      <c r="AY32" s="1"/>
      <c r="AZ32" s="2" t="s">
        <v>9</v>
      </c>
      <c r="BA32" s="3" t="s">
        <v>10</v>
      </c>
      <c r="BB32" s="3" t="s">
        <v>10</v>
      </c>
      <c r="BC32" s="19">
        <v>33.784961000000003</v>
      </c>
      <c r="BD32" s="19" t="s">
        <v>10</v>
      </c>
      <c r="BE32" s="19" t="s">
        <v>10</v>
      </c>
      <c r="BF32" s="19">
        <v>101.033455</v>
      </c>
      <c r="BG32" s="19">
        <v>302.19762400000002</v>
      </c>
      <c r="BH32" s="12">
        <f>BF32/(SUM(BA32:BG32))</f>
        <v>0.23118935176841562</v>
      </c>
      <c r="BI32" s="12">
        <f>BG32/(SUM(BB32:BH32))</f>
        <v>0.69113673847177182</v>
      </c>
      <c r="BJ32" s="17">
        <f>SUM(BA32:BG32)</f>
        <v>437.01604000000003</v>
      </c>
      <c r="BK32" s="24">
        <f>BC32*BC$57</f>
        <v>22.298074260000003</v>
      </c>
      <c r="BL32" s="24">
        <f>(BK32-'0. Current system'!$L32)</f>
        <v>-259.07328941999998</v>
      </c>
      <c r="BM32" s="24">
        <f>-(BK32-'2. Diesel-battery-storage'!$BK32)</f>
        <v>32.794721519999996</v>
      </c>
      <c r="BN32" s="24"/>
      <c r="BO32" s="24">
        <f>-(BE5-'0. Current system'!$G5)*SUM(BA32:BG32)/(BK32-'0. Current system'!$L32)</f>
        <v>-216.47400629425093</v>
      </c>
      <c r="BP32" s="24"/>
      <c r="BQ32" s="24"/>
      <c r="BR32" s="41"/>
    </row>
    <row r="33" spans="1:70">
      <c r="A33" s="1"/>
      <c r="B33" s="2" t="s">
        <v>11</v>
      </c>
      <c r="C33" s="3">
        <v>0</v>
      </c>
      <c r="D33" s="3" t="s">
        <v>10</v>
      </c>
      <c r="E33" s="19">
        <v>75.238556000000003</v>
      </c>
      <c r="F33" s="19" t="s">
        <v>10</v>
      </c>
      <c r="G33" s="19" t="s">
        <v>10</v>
      </c>
      <c r="H33" s="19">
        <v>471.73172299999999</v>
      </c>
      <c r="I33" s="19">
        <v>654.951821</v>
      </c>
      <c r="J33" s="12">
        <f t="shared" ref="J33:K41" si="9">H33/(SUM(C33:I33))</f>
        <v>0.39248111254464829</v>
      </c>
      <c r="K33" s="12">
        <f t="shared" si="9"/>
        <v>0.5447424752962321</v>
      </c>
      <c r="L33" s="17">
        <f t="shared" ref="L33:L41" si="10">SUM(C33:I33)</f>
        <v>1201.9221</v>
      </c>
      <c r="M33" s="24">
        <f t="shared" ref="M33:M41" si="11">E33*E$57</f>
        <v>49.657446960000001</v>
      </c>
      <c r="N33" s="24">
        <f>(M33-'0. Current system'!$L33)</f>
        <v>-617.71989575999999</v>
      </c>
      <c r="O33" s="12">
        <f>(M33-'0. Current system'!$L33)/'0. Current system'!$L33</f>
        <v>-0.92559314831154837</v>
      </c>
      <c r="P33" s="1"/>
      <c r="Q33" s="2" t="s">
        <v>11</v>
      </c>
      <c r="R33" s="3">
        <v>0</v>
      </c>
      <c r="S33" s="3" t="s">
        <v>10</v>
      </c>
      <c r="T33" s="19">
        <v>75.238556000000003</v>
      </c>
      <c r="U33" s="19" t="s">
        <v>10</v>
      </c>
      <c r="V33" s="19" t="s">
        <v>10</v>
      </c>
      <c r="W33" s="19">
        <v>498.90643999999998</v>
      </c>
      <c r="X33" s="19">
        <v>627.77710500000001</v>
      </c>
      <c r="Y33" s="12">
        <f t="shared" ref="Y33:Y41" si="12">W33/(SUM(R33:X33))</f>
        <v>0.41509049512019908</v>
      </c>
      <c r="Z33" s="12">
        <f t="shared" ref="Z33:Z41" si="13">X33/(SUM(S33:Y33))</f>
        <v>0.52213065472868869</v>
      </c>
      <c r="AA33" s="17">
        <f t="shared" ref="AA33:AA41" si="14">SUM(R33:X33)</f>
        <v>1201.9221010000001</v>
      </c>
      <c r="AB33" s="24">
        <f t="shared" ref="AB33:AB41" si="15">T33*T$57</f>
        <v>49.657446960000001</v>
      </c>
      <c r="AC33" s="24">
        <f>(AB33-'0. Current system'!$L33)</f>
        <v>-617.71989575999999</v>
      </c>
      <c r="AD33" s="12">
        <f>(AB33-'0. Current system'!$L33)/'0. Current system'!$L33</f>
        <v>-0.92559314831154837</v>
      </c>
      <c r="AE33" s="1"/>
      <c r="AF33" s="2" t="s">
        <v>11</v>
      </c>
      <c r="AG33" s="3">
        <v>69.730574000000004</v>
      </c>
      <c r="AH33" s="3" t="s">
        <v>10</v>
      </c>
      <c r="AI33" s="19">
        <v>147.273031</v>
      </c>
      <c r="AJ33" s="19" t="s">
        <v>10</v>
      </c>
      <c r="AK33" s="19" t="s">
        <v>10</v>
      </c>
      <c r="AL33" s="19">
        <v>610.59941800000001</v>
      </c>
      <c r="AM33" s="19">
        <v>374.31907699999999</v>
      </c>
      <c r="AN33" s="12">
        <f t="shared" ref="AN33:AO41" si="16">AL33/(SUM(AG33:AM33))</f>
        <v>0.50801912869394783</v>
      </c>
      <c r="AO33" s="12">
        <f t="shared" si="16"/>
        <v>0.33046634353284826</v>
      </c>
      <c r="AP33" s="17">
        <f t="shared" ref="AP33:AP41" si="17">SUM(AG33:AM33)</f>
        <v>1201.9221</v>
      </c>
      <c r="AQ33" s="24">
        <f t="shared" ref="AQ33:AQ41" si="18">AI33*AI$57</f>
        <v>97.200200460000005</v>
      </c>
      <c r="AR33" s="24">
        <f>(AQ33-'0. Current system'!$L33)</f>
        <v>-570.17714225999998</v>
      </c>
      <c r="AS33" s="24">
        <f>(AQ33-'2. Diesel-battery-storage'!$BK33)</f>
        <v>0</v>
      </c>
      <c r="AT33" s="24"/>
      <c r="AU33" s="24">
        <f>-(AK6-'0. Current system'!$G6)*SUM(AG33:AM33)/(AQ33-'0. Current system'!$L33)</f>
        <v>-199.41720548626594</v>
      </c>
      <c r="AV33" s="24"/>
      <c r="AW33" s="24"/>
      <c r="AX33" s="41"/>
      <c r="AY33" s="1"/>
      <c r="AZ33" s="2" t="s">
        <v>11</v>
      </c>
      <c r="BA33" s="3">
        <v>0</v>
      </c>
      <c r="BB33" s="3" t="s">
        <v>10</v>
      </c>
      <c r="BC33" s="19">
        <v>75.238556000000003</v>
      </c>
      <c r="BD33" s="19" t="s">
        <v>10</v>
      </c>
      <c r="BE33" s="19" t="s">
        <v>10</v>
      </c>
      <c r="BF33" s="19">
        <v>498.72846700000002</v>
      </c>
      <c r="BG33" s="19">
        <v>627.95507699999996</v>
      </c>
      <c r="BH33" s="12">
        <f t="shared" ref="BH33:BH41" si="19">BF33/(SUM(BA33:BG33))</f>
        <v>0.41494242180920049</v>
      </c>
      <c r="BI33" s="12">
        <f t="shared" ref="BI33:BI41" si="20">BG33/(SUM(BB33:BH33))</f>
        <v>0.52227874118819506</v>
      </c>
      <c r="BJ33" s="17">
        <f t="shared" ref="BJ33:BJ41" si="21">SUM(BA33:BG33)</f>
        <v>1201.9221</v>
      </c>
      <c r="BK33" s="24">
        <f t="shared" ref="BK33:BK41" si="22">BC33*BC$57</f>
        <v>49.657446960000001</v>
      </c>
      <c r="BL33" s="24">
        <f>(BK33-'0. Current system'!$L33)</f>
        <v>-617.71989575999999</v>
      </c>
      <c r="BM33" s="24">
        <f>-(BK33-'2. Diesel-battery-storage'!$BK33)</f>
        <v>47.542753500000003</v>
      </c>
      <c r="BN33" s="24"/>
      <c r="BO33" s="24">
        <f>-(BE6-'0. Current system'!$G6)*SUM(BA33:BG33)/(BK33-'0. Current system'!$L33)</f>
        <v>-226.32124775232691</v>
      </c>
      <c r="BP33" s="24"/>
      <c r="BQ33" s="24"/>
      <c r="BR33" s="41"/>
    </row>
    <row r="34" spans="1:70">
      <c r="A34" s="1"/>
      <c r="B34" s="2" t="s">
        <v>12</v>
      </c>
      <c r="C34" s="3" t="s">
        <v>10</v>
      </c>
      <c r="D34" s="3" t="s">
        <v>10</v>
      </c>
      <c r="E34" s="19">
        <v>0</v>
      </c>
      <c r="F34" s="19">
        <v>82.737200000000001</v>
      </c>
      <c r="G34" s="19">
        <v>44.743699999999997</v>
      </c>
      <c r="H34" s="19">
        <v>0</v>
      </c>
      <c r="I34" s="19">
        <v>0</v>
      </c>
      <c r="J34" s="12">
        <f t="shared" si="9"/>
        <v>0</v>
      </c>
      <c r="K34" s="12">
        <f t="shared" si="9"/>
        <v>0</v>
      </c>
      <c r="L34" s="17">
        <f t="shared" si="10"/>
        <v>127.48089999999999</v>
      </c>
      <c r="M34" s="24">
        <f t="shared" si="11"/>
        <v>0</v>
      </c>
      <c r="N34" s="24">
        <f>(M34-'0. Current system'!$L34)</f>
        <v>-45.978834000000006</v>
      </c>
      <c r="O34" s="12">
        <f>(M34-'0. Current system'!$L34)/'0. Current system'!$L34</f>
        <v>-1</v>
      </c>
      <c r="P34" s="1"/>
      <c r="Q34" s="2" t="s">
        <v>12</v>
      </c>
      <c r="R34" s="3" t="s">
        <v>10</v>
      </c>
      <c r="S34" s="3" t="s">
        <v>10</v>
      </c>
      <c r="T34" s="19">
        <v>0</v>
      </c>
      <c r="U34" s="19">
        <v>27.799054999999999</v>
      </c>
      <c r="V34" s="19">
        <v>55.289935</v>
      </c>
      <c r="W34" s="19">
        <v>0</v>
      </c>
      <c r="X34" s="19">
        <v>44.391911</v>
      </c>
      <c r="Y34" s="12">
        <f t="shared" si="12"/>
        <v>0</v>
      </c>
      <c r="Z34" s="12">
        <f t="shared" si="13"/>
        <v>0.34822401357204091</v>
      </c>
      <c r="AA34" s="17">
        <f t="shared" si="14"/>
        <v>127.48090099999999</v>
      </c>
      <c r="AB34" s="24">
        <f t="shared" si="15"/>
        <v>0</v>
      </c>
      <c r="AC34" s="24">
        <f>(AB34-'0. Current system'!$L34)</f>
        <v>-45.978834000000006</v>
      </c>
      <c r="AD34" s="12">
        <f>(AB34-'0. Current system'!$L34)/'0. Current system'!$L34</f>
        <v>-1</v>
      </c>
      <c r="AE34" s="1"/>
      <c r="AF34" s="2" t="s">
        <v>12</v>
      </c>
      <c r="AG34" s="3" t="s">
        <v>10</v>
      </c>
      <c r="AH34" s="3" t="s">
        <v>10</v>
      </c>
      <c r="AI34" s="19">
        <v>0</v>
      </c>
      <c r="AJ34" s="19">
        <v>82.737200000000001</v>
      </c>
      <c r="AK34" s="19">
        <v>44.743699999999997</v>
      </c>
      <c r="AL34" s="19">
        <v>0</v>
      </c>
      <c r="AM34" s="19">
        <v>0</v>
      </c>
      <c r="AN34" s="12">
        <f t="shared" si="16"/>
        <v>0</v>
      </c>
      <c r="AO34" s="12">
        <f t="shared" si="16"/>
        <v>0</v>
      </c>
      <c r="AP34" s="17">
        <f t="shared" si="17"/>
        <v>127.48089999999999</v>
      </c>
      <c r="AQ34" s="24">
        <f t="shared" si="18"/>
        <v>0</v>
      </c>
      <c r="AR34" s="24">
        <f>(AQ34-'0. Current system'!$L34)</f>
        <v>-45.978834000000006</v>
      </c>
      <c r="AS34" s="24">
        <f>(AQ34-'2. Diesel-battery-storage'!$BK34)</f>
        <v>0</v>
      </c>
      <c r="AT34" s="32">
        <f>1+'2. Diesel-battery-storage'!$AG34</f>
        <v>0</v>
      </c>
      <c r="AU34" s="24">
        <f>-(AK7-'0. Current system'!$G7)*SUM(AG34:AM34)/(AQ34-'0. Current system'!$L34)</f>
        <v>-47.932955410785333</v>
      </c>
      <c r="AV34" s="24"/>
      <c r="AW34" s="27">
        <f>AV34*AS34/1000+'2. Diesel-battery-storage'!$BP34</f>
        <v>-2.203901399961901</v>
      </c>
      <c r="AX34" s="41">
        <f>AW34/'0. Current system'!$L34*1000</f>
        <v>-47.932955410785333</v>
      </c>
      <c r="AY34" s="1"/>
      <c r="AZ34" s="2" t="s">
        <v>12</v>
      </c>
      <c r="BA34" s="3" t="s">
        <v>10</v>
      </c>
      <c r="BB34" s="3" t="s">
        <v>10</v>
      </c>
      <c r="BC34" s="19">
        <v>0</v>
      </c>
      <c r="BD34" s="19">
        <v>82.737200000000001</v>
      </c>
      <c r="BE34" s="19">
        <v>44.743699999999997</v>
      </c>
      <c r="BF34" s="19">
        <v>0</v>
      </c>
      <c r="BG34" s="19">
        <v>0</v>
      </c>
      <c r="BH34" s="12">
        <f t="shared" si="19"/>
        <v>0</v>
      </c>
      <c r="BI34" s="12">
        <f t="shared" si="20"/>
        <v>0</v>
      </c>
      <c r="BJ34" s="17">
        <f t="shared" si="21"/>
        <v>127.48089999999999</v>
      </c>
      <c r="BK34" s="24">
        <f t="shared" si="22"/>
        <v>0</v>
      </c>
      <c r="BL34" s="24">
        <f>(BK34-'0. Current system'!$L34)</f>
        <v>-45.978834000000006</v>
      </c>
      <c r="BM34" s="24">
        <f>-(BK34-'2. Diesel-battery-storage'!$BK34)</f>
        <v>0</v>
      </c>
      <c r="BN34" s="32">
        <f>1+'2. Diesel-battery-storage'!$AG34</f>
        <v>0</v>
      </c>
      <c r="BO34" s="24">
        <f>-(BE7-'0. Current system'!$G7)*SUM(BA34:BG34)/(BK34-'0. Current system'!$L34)</f>
        <v>-47.932955410785333</v>
      </c>
      <c r="BP34" s="24"/>
      <c r="BQ34" s="27">
        <f>BP34*BM34/1000+'2. Diesel-battery-storage'!$BP34</f>
        <v>-2.203901399961901</v>
      </c>
      <c r="BR34" s="41">
        <f>BQ34/'0. Current system'!$L34*1000</f>
        <v>-47.932955410785333</v>
      </c>
    </row>
    <row r="35" spans="1:70">
      <c r="A35" s="1"/>
      <c r="B35" s="2" t="s">
        <v>13</v>
      </c>
      <c r="C35" s="3">
        <v>0.97268399999999999</v>
      </c>
      <c r="D35" s="3">
        <v>0</v>
      </c>
      <c r="E35" s="19">
        <v>0</v>
      </c>
      <c r="F35" s="19">
        <v>531.51524900000004</v>
      </c>
      <c r="G35" s="19">
        <v>7.030208</v>
      </c>
      <c r="H35" s="19">
        <v>1050.472436</v>
      </c>
      <c r="I35" s="19">
        <v>413.17962299999999</v>
      </c>
      <c r="J35" s="12">
        <f t="shared" si="9"/>
        <v>0.52440498366039989</v>
      </c>
      <c r="K35" s="12">
        <f t="shared" si="9"/>
        <v>0.20630903305690185</v>
      </c>
      <c r="L35" s="17">
        <f t="shared" si="10"/>
        <v>2003.1702</v>
      </c>
      <c r="M35" s="24">
        <f t="shared" si="11"/>
        <v>0</v>
      </c>
      <c r="N35" s="24">
        <f>(M35-'0. Current system'!$L35)</f>
        <v>-1006.10939748</v>
      </c>
      <c r="O35" s="12">
        <f>(M35-'0. Current system'!$L35)/'0. Current system'!$L35</f>
        <v>-1</v>
      </c>
      <c r="P35" s="1"/>
      <c r="Q35" s="2" t="s">
        <v>13</v>
      </c>
      <c r="R35" s="3">
        <v>0.97268399999999999</v>
      </c>
      <c r="S35" s="3">
        <v>0</v>
      </c>
      <c r="T35" s="19">
        <v>0</v>
      </c>
      <c r="U35" s="19">
        <v>86.864992999999998</v>
      </c>
      <c r="V35" s="19">
        <v>49.186117000000003</v>
      </c>
      <c r="W35" s="19">
        <v>1394.0981320000001</v>
      </c>
      <c r="X35" s="19">
        <v>472.04827399999999</v>
      </c>
      <c r="Y35" s="12">
        <f t="shared" si="12"/>
        <v>0.69594592211884942</v>
      </c>
      <c r="Z35" s="12">
        <f t="shared" si="13"/>
        <v>0.23568316686549515</v>
      </c>
      <c r="AA35" s="17">
        <f t="shared" si="14"/>
        <v>2003.1702</v>
      </c>
      <c r="AB35" s="24">
        <f t="shared" si="15"/>
        <v>0</v>
      </c>
      <c r="AC35" s="24">
        <f>(AB35-'0. Current system'!$L35)</f>
        <v>-1006.10939748</v>
      </c>
      <c r="AD35" s="12">
        <f>(AB35-'0. Current system'!$L35)/'0. Current system'!$L35</f>
        <v>-1</v>
      </c>
      <c r="AE35" s="1"/>
      <c r="AF35" s="2" t="s">
        <v>13</v>
      </c>
      <c r="AG35" s="3">
        <v>1.0443260000000001</v>
      </c>
      <c r="AH35" s="3">
        <v>0</v>
      </c>
      <c r="AI35" s="19">
        <v>0</v>
      </c>
      <c r="AJ35" s="19">
        <v>1195.743645</v>
      </c>
      <c r="AK35" s="19">
        <v>116.560089</v>
      </c>
      <c r="AL35" s="19">
        <v>531.79634699999997</v>
      </c>
      <c r="AM35" s="19">
        <v>158.02579399999999</v>
      </c>
      <c r="AN35" s="12">
        <f t="shared" si="16"/>
        <v>0.26547736519568965</v>
      </c>
      <c r="AO35" s="12">
        <f t="shared" si="16"/>
        <v>7.8918535986155863E-2</v>
      </c>
      <c r="AP35" s="17">
        <f t="shared" si="17"/>
        <v>2003.1702009999999</v>
      </c>
      <c r="AQ35" s="24">
        <f t="shared" si="18"/>
        <v>0</v>
      </c>
      <c r="AR35" s="24">
        <f>(AQ35-'0. Current system'!$L35)</f>
        <v>-1006.10939748</v>
      </c>
      <c r="AS35" s="24">
        <f>(AQ35-'2. Diesel-battery-storage'!$BK35)</f>
        <v>-113.04575370000001</v>
      </c>
      <c r="AT35" s="32">
        <f>1+'2. Diesel-battery-storage'!$AG35</f>
        <v>0.11539063850390863</v>
      </c>
      <c r="AU35" s="24">
        <f>-(AK8-'0. Current system'!$G8)*SUM(AG35:AM35)/(AQ35-'0. Current system'!$L35)</f>
        <v>-120.49049394801402</v>
      </c>
      <c r="AV35" s="24">
        <f>-(AK8-'2. Diesel-battery-storage'!$BE8)*SUM(AG35:AM35)/(AS35)</f>
        <v>428.99778531489056</v>
      </c>
      <c r="AW35" s="27">
        <f>AV35*AS35/1000+'2. Diesel-battery-storage'!$BP35</f>
        <v>-218.21937413648197</v>
      </c>
      <c r="AX35" s="41">
        <f>AW35/'0. Current system'!$L35*1000</f>
        <v>-216.89428076415504</v>
      </c>
      <c r="AY35" s="1"/>
      <c r="AZ35" s="2" t="s">
        <v>13</v>
      </c>
      <c r="BA35" s="3">
        <v>0.82279199999999997</v>
      </c>
      <c r="BB35" s="3">
        <v>0</v>
      </c>
      <c r="BC35" s="19">
        <v>0</v>
      </c>
      <c r="BD35" s="19">
        <v>733.92470000000003</v>
      </c>
      <c r="BE35" s="19">
        <v>5.5911530000000003</v>
      </c>
      <c r="BF35" s="19">
        <v>676.96955700000001</v>
      </c>
      <c r="BG35" s="19">
        <v>585.86199699999997</v>
      </c>
      <c r="BH35" s="12">
        <f t="shared" si="19"/>
        <v>0.33794909555760616</v>
      </c>
      <c r="BI35" s="12">
        <f t="shared" si="20"/>
        <v>0.29253821386211093</v>
      </c>
      <c r="BJ35" s="17">
        <f t="shared" si="21"/>
        <v>2003.1701990000001</v>
      </c>
      <c r="BK35" s="24">
        <f t="shared" si="22"/>
        <v>0</v>
      </c>
      <c r="BL35" s="24">
        <f>(BK35-'0. Current system'!$L35)</f>
        <v>-1006.10939748</v>
      </c>
      <c r="BM35" s="24">
        <f>-(BK35-'2. Diesel-battery-storage'!$BK35)</f>
        <v>113.04575370000001</v>
      </c>
      <c r="BN35" s="32">
        <f>1+'2. Diesel-battery-storage'!$AG35</f>
        <v>0.11539063850390863</v>
      </c>
      <c r="BO35" s="24">
        <f>-(BE8-'0. Current system'!$G8)*SUM(BA35:BG35)/(BK35-'0. Current system'!$L35)</f>
        <v>-126.59438769757836</v>
      </c>
      <c r="BP35" s="24">
        <f>(BE8-'2. Diesel-battery-storage'!$BE8)*SUM(BA35:BG35)/(BM35)</f>
        <v>374.6730112202535</v>
      </c>
      <c r="BQ35" s="27">
        <f>BP35*BM35/1000+'2. Diesel-battery-storage'!$BP35</f>
        <v>-127.36780321548727</v>
      </c>
      <c r="BR35" s="41">
        <f>BQ35/'0. Current system'!$L35*1000</f>
        <v>-126.59438778179106</v>
      </c>
    </row>
    <row r="36" spans="1:70">
      <c r="A36" s="1"/>
      <c r="B36" s="2" t="s">
        <v>14</v>
      </c>
      <c r="C36" s="3" t="s">
        <v>10</v>
      </c>
      <c r="D36" s="3" t="s">
        <v>10</v>
      </c>
      <c r="E36" s="19">
        <v>0</v>
      </c>
      <c r="F36" s="19">
        <v>32.362682</v>
      </c>
      <c r="G36" s="19">
        <v>0</v>
      </c>
      <c r="H36" s="19">
        <v>60.055498</v>
      </c>
      <c r="I36" s="19">
        <v>171.60051999999999</v>
      </c>
      <c r="J36" s="12">
        <f t="shared" si="9"/>
        <v>0.22746683473556989</v>
      </c>
      <c r="K36" s="12">
        <f t="shared" si="9"/>
        <v>0.64939643990114004</v>
      </c>
      <c r="L36" s="17">
        <f t="shared" si="10"/>
        <v>264.01869999999997</v>
      </c>
      <c r="M36" s="24">
        <f t="shared" si="11"/>
        <v>0</v>
      </c>
      <c r="N36" s="24">
        <f>(M36-'0. Current system'!$L36)</f>
        <v>-169.70997120000001</v>
      </c>
      <c r="O36" s="12">
        <f>(M36-'0. Current system'!$L36)/'0. Current system'!$L36</f>
        <v>-1</v>
      </c>
      <c r="P36" s="1"/>
      <c r="Q36" s="2" t="s">
        <v>14</v>
      </c>
      <c r="R36" s="3" t="s">
        <v>10</v>
      </c>
      <c r="S36" s="3" t="s">
        <v>10</v>
      </c>
      <c r="T36" s="19">
        <v>0</v>
      </c>
      <c r="U36" s="19">
        <v>6.2387459999999999</v>
      </c>
      <c r="V36" s="19">
        <v>0</v>
      </c>
      <c r="W36" s="19">
        <v>71.834128000000007</v>
      </c>
      <c r="X36" s="19">
        <v>185.94582600000001</v>
      </c>
      <c r="Y36" s="12">
        <f t="shared" si="12"/>
        <v>0.27207969738507159</v>
      </c>
      <c r="Z36" s="12">
        <f t="shared" si="13"/>
        <v>0.70356531625094654</v>
      </c>
      <c r="AA36" s="17">
        <f t="shared" si="14"/>
        <v>264.01870000000002</v>
      </c>
      <c r="AB36" s="24">
        <f t="shared" si="15"/>
        <v>0</v>
      </c>
      <c r="AC36" s="24">
        <f>(AB36-'0. Current system'!$L36)</f>
        <v>-169.70997120000001</v>
      </c>
      <c r="AD36" s="12">
        <f>(AB36-'0. Current system'!$L36)/'0. Current system'!$L36</f>
        <v>-1</v>
      </c>
      <c r="AE36" s="1"/>
      <c r="AF36" s="2" t="s">
        <v>14</v>
      </c>
      <c r="AG36" s="3" t="s">
        <v>10</v>
      </c>
      <c r="AH36" s="3" t="s">
        <v>10</v>
      </c>
      <c r="AI36" s="19">
        <v>0</v>
      </c>
      <c r="AJ36" s="19">
        <v>177.76792900000001</v>
      </c>
      <c r="AK36" s="19">
        <v>0</v>
      </c>
      <c r="AL36" s="19">
        <v>34.227649</v>
      </c>
      <c r="AM36" s="19">
        <v>52.023122000000001</v>
      </c>
      <c r="AN36" s="12">
        <f t="shared" si="16"/>
        <v>0.12964100270170256</v>
      </c>
      <c r="AO36" s="12">
        <f t="shared" si="16"/>
        <v>0.19694661644484038</v>
      </c>
      <c r="AP36" s="17">
        <f t="shared" si="17"/>
        <v>264.01870000000002</v>
      </c>
      <c r="AQ36" s="24">
        <f t="shared" si="18"/>
        <v>0</v>
      </c>
      <c r="AR36" s="24">
        <f>(AQ36-'0. Current system'!$L36)</f>
        <v>-169.70997120000001</v>
      </c>
      <c r="AS36" s="24">
        <f>(AQ36-'2. Diesel-battery-storage'!$BK36)</f>
        <v>-39.653804520000001</v>
      </c>
      <c r="AT36" s="32">
        <f>1+'2. Diesel-battery-storage'!$AG36</f>
        <v>0.20676259969809019</v>
      </c>
      <c r="AU36" s="24">
        <f>-(AK9-'0. Current system'!$G9)*SUM(AG36:AM36)/(AQ36-'0. Current system'!$L36)</f>
        <v>-136.10028925885175</v>
      </c>
      <c r="AV36" s="24">
        <f>-(AK9-'2. Diesel-battery-storage'!$BE9)*SUM(AG36:AM36)/(AS36)</f>
        <v>150.23108276656731</v>
      </c>
      <c r="AW36" s="27">
        <f>AV36*AS36/1000+'2. Diesel-battery-storage'!$BP36</f>
        <v>-35.012044258186506</v>
      </c>
      <c r="AX36" s="41">
        <f>AW36/'0. Current system'!$L36*1000</f>
        <v>-206.30516881607076</v>
      </c>
      <c r="AY36" s="1"/>
      <c r="AZ36" s="2" t="s">
        <v>14</v>
      </c>
      <c r="BA36" s="3" t="s">
        <v>10</v>
      </c>
      <c r="BB36" s="3" t="s">
        <v>10</v>
      </c>
      <c r="BC36" s="19">
        <v>0</v>
      </c>
      <c r="BD36" s="19">
        <v>105.77536499999999</v>
      </c>
      <c r="BE36" s="19">
        <v>0</v>
      </c>
      <c r="BF36" s="19">
        <v>40.495154999999997</v>
      </c>
      <c r="BG36" s="19">
        <v>117.748181</v>
      </c>
      <c r="BH36" s="12">
        <f t="shared" si="19"/>
        <v>0.15337987364766256</v>
      </c>
      <c r="BI36" s="12">
        <f t="shared" si="20"/>
        <v>0.44572530378907999</v>
      </c>
      <c r="BJ36" s="17">
        <f t="shared" si="21"/>
        <v>264.01870099999996</v>
      </c>
      <c r="BK36" s="24">
        <f t="shared" si="22"/>
        <v>0</v>
      </c>
      <c r="BL36" s="24">
        <f>(BK36-'0. Current system'!$L36)</f>
        <v>-169.70997120000001</v>
      </c>
      <c r="BM36" s="24">
        <f>-(BK36-'2. Diesel-battery-storage'!$BK36)</f>
        <v>39.653804520000001</v>
      </c>
      <c r="BN36" s="32">
        <f>1+'2. Diesel-battery-storage'!$AG36</f>
        <v>0.20676259969809019</v>
      </c>
      <c r="BO36" s="24">
        <f>-(BE9-'0. Current system'!$G9)*SUM(BA36:BG36)/(BK36-'0. Current system'!$L36)</f>
        <v>-156.94390158017239</v>
      </c>
      <c r="BP36" s="24">
        <f>(BE9-'2. Diesel-battery-storage'!$BE9)*SUM(BA36:BG36)/(BM36)</f>
        <v>61.024793999927859</v>
      </c>
      <c r="BQ36" s="27">
        <f>BP36*BM36/1000+'2. Diesel-battery-storage'!$BP36</f>
        <v>-26.634945017186695</v>
      </c>
      <c r="BR36" s="41">
        <f>BQ36/'0. Current system'!$L36*1000</f>
        <v>-156.94390158017239</v>
      </c>
    </row>
    <row r="37" spans="1:70">
      <c r="A37" s="1"/>
      <c r="B37" s="2" t="s">
        <v>15</v>
      </c>
      <c r="C37" s="3" t="s">
        <v>10</v>
      </c>
      <c r="D37" s="3" t="s">
        <v>10</v>
      </c>
      <c r="E37" s="19">
        <v>0</v>
      </c>
      <c r="F37" s="19">
        <v>81.352907999999999</v>
      </c>
      <c r="G37" s="19" t="s">
        <v>10</v>
      </c>
      <c r="H37" s="19">
        <v>105.00336</v>
      </c>
      <c r="I37" s="19">
        <v>287.08313099999998</v>
      </c>
      <c r="J37" s="12">
        <f t="shared" si="9"/>
        <v>0.22178838563454667</v>
      </c>
      <c r="K37" s="12">
        <f t="shared" si="9"/>
        <v>0.60609384649933173</v>
      </c>
      <c r="L37" s="17">
        <f t="shared" si="10"/>
        <v>473.43939899999998</v>
      </c>
      <c r="M37" s="24">
        <f t="shared" si="11"/>
        <v>0</v>
      </c>
      <c r="N37" s="24">
        <f>(M37-'0. Current system'!$L37)</f>
        <v>-303.12021695999999</v>
      </c>
      <c r="O37" s="12">
        <f>(M37-'0. Current system'!$L37)/'0. Current system'!$L37</f>
        <v>-1</v>
      </c>
      <c r="P37" s="1"/>
      <c r="Q37" s="2" t="s">
        <v>15</v>
      </c>
      <c r="R37" s="3" t="s">
        <v>10</v>
      </c>
      <c r="S37" s="3" t="s">
        <v>10</v>
      </c>
      <c r="T37" s="19">
        <v>0</v>
      </c>
      <c r="U37" s="19">
        <v>14.732324</v>
      </c>
      <c r="V37" s="19" t="s">
        <v>10</v>
      </c>
      <c r="W37" s="19">
        <v>110.030466</v>
      </c>
      <c r="X37" s="19">
        <v>348.67660999999998</v>
      </c>
      <c r="Y37" s="12">
        <f t="shared" si="12"/>
        <v>0.23240665225581142</v>
      </c>
      <c r="Z37" s="12">
        <f t="shared" si="13"/>
        <v>0.73611434141356757</v>
      </c>
      <c r="AA37" s="17">
        <f t="shared" si="14"/>
        <v>473.43939999999998</v>
      </c>
      <c r="AB37" s="24">
        <f t="shared" si="15"/>
        <v>0</v>
      </c>
      <c r="AC37" s="24">
        <f>(AB37-'0. Current system'!$L37)</f>
        <v>-303.12021695999999</v>
      </c>
      <c r="AD37" s="12">
        <f>(AB37-'0. Current system'!$L37)/'0. Current system'!$L37</f>
        <v>-1</v>
      </c>
      <c r="AE37" s="1"/>
      <c r="AF37" s="2" t="s">
        <v>15</v>
      </c>
      <c r="AG37" s="3" t="s">
        <v>10</v>
      </c>
      <c r="AH37" s="3" t="s">
        <v>10</v>
      </c>
      <c r="AI37" s="19">
        <v>0</v>
      </c>
      <c r="AJ37" s="19">
        <v>309.65452599999998</v>
      </c>
      <c r="AK37" s="19" t="s">
        <v>10</v>
      </c>
      <c r="AL37" s="19">
        <v>135.14402100000001</v>
      </c>
      <c r="AM37" s="19">
        <v>28.640854000000001</v>
      </c>
      <c r="AN37" s="12">
        <f t="shared" si="16"/>
        <v>0.28545157144620503</v>
      </c>
      <c r="AO37" s="12">
        <f t="shared" si="16"/>
        <v>6.0458837750507179E-2</v>
      </c>
      <c r="AP37" s="17">
        <f t="shared" si="17"/>
        <v>473.43940099999998</v>
      </c>
      <c r="AQ37" s="24">
        <f t="shared" si="18"/>
        <v>0</v>
      </c>
      <c r="AR37" s="24">
        <f>(AQ37-'0. Current system'!$L37)</f>
        <v>-303.12021695999999</v>
      </c>
      <c r="AS37" s="24">
        <f>(AQ37-'2. Diesel-battery-storage'!$BK37)</f>
        <v>-51.91156608</v>
      </c>
      <c r="AT37" s="32">
        <f>1+'2. Diesel-battery-storage'!$AG37</f>
        <v>0.14789865661093782</v>
      </c>
      <c r="AU37" s="24">
        <f>-(AK10-'0. Current system'!$G10)*SUM(AG37:AM37)/(AQ37-'0. Current system'!$L37)</f>
        <v>-129.50296416733485</v>
      </c>
      <c r="AV37" s="24">
        <f>-(AK10-'2. Diesel-battery-storage'!$BE10)*SUM(AG37:AM37)/(AS37)</f>
        <v>228.63604148335162</v>
      </c>
      <c r="AW37" s="27">
        <f>AV37*AS37/1000+'2. Diesel-battery-storage'!$BP37</f>
        <v>-62.992676546830907</v>
      </c>
      <c r="AX37" s="41">
        <f>AW37/'0. Current system'!$L37*1000</f>
        <v>-207.81417082168252</v>
      </c>
      <c r="AY37" s="1"/>
      <c r="AZ37" s="2" t="s">
        <v>15</v>
      </c>
      <c r="BA37" s="3" t="s">
        <v>10</v>
      </c>
      <c r="BB37" s="3" t="s">
        <v>10</v>
      </c>
      <c r="BC37" s="19">
        <v>0</v>
      </c>
      <c r="BD37" s="19">
        <v>207.12310400000001</v>
      </c>
      <c r="BE37" s="19" t="s">
        <v>10</v>
      </c>
      <c r="BF37" s="19">
        <v>113.462721</v>
      </c>
      <c r="BG37" s="19">
        <v>152.85357500000001</v>
      </c>
      <c r="BH37" s="12">
        <f t="shared" si="19"/>
        <v>0.23965627068638565</v>
      </c>
      <c r="BI37" s="12">
        <f t="shared" si="20"/>
        <v>0.32269439185981452</v>
      </c>
      <c r="BJ37" s="17">
        <f t="shared" si="21"/>
        <v>473.43939999999998</v>
      </c>
      <c r="BK37" s="24">
        <f t="shared" si="22"/>
        <v>0</v>
      </c>
      <c r="BL37" s="24">
        <f>(BK37-'0. Current system'!$L37)</f>
        <v>-303.12021695999999</v>
      </c>
      <c r="BM37" s="24">
        <f>-(BK37-'2. Diesel-battery-storage'!$BK37)</f>
        <v>51.91156608</v>
      </c>
      <c r="BN37" s="32">
        <f>1+'2. Diesel-battery-storage'!$AG37</f>
        <v>0.14789865661093782</v>
      </c>
      <c r="BO37" s="24">
        <f>-(BE10-'0. Current system'!$G10)*SUM(BA37:BG37)/(BK37-'0. Current system'!$L37)</f>
        <v>-143.79536474640886</v>
      </c>
      <c r="BP37" s="24">
        <f>(BE10-'2. Diesel-battery-storage'!$BE10)*SUM(BA37:BG37)/(BM37)</f>
        <v>145.18034943746781</v>
      </c>
      <c r="BQ37" s="27">
        <f>BP37*BM37/1000+'2. Diesel-battery-storage'!$BP37</f>
        <v>-43.587282267757672</v>
      </c>
      <c r="BR37" s="41">
        <f>BQ37/'0. Current system'!$L37*1000</f>
        <v>-143.79536510264998</v>
      </c>
    </row>
    <row r="38" spans="1:70">
      <c r="A38" s="1"/>
      <c r="B38" s="2" t="s">
        <v>16</v>
      </c>
      <c r="C38" s="3" t="s">
        <v>10</v>
      </c>
      <c r="D38" s="3" t="s">
        <v>10</v>
      </c>
      <c r="E38" s="19">
        <v>0</v>
      </c>
      <c r="F38" s="19">
        <v>8.0274439999999991</v>
      </c>
      <c r="G38" s="19" t="s">
        <v>10</v>
      </c>
      <c r="H38" s="19">
        <v>5.1707390000000002</v>
      </c>
      <c r="I38" s="19">
        <v>3.1923360000000001</v>
      </c>
      <c r="J38" s="12">
        <f t="shared" si="9"/>
        <v>0.31547134047433151</v>
      </c>
      <c r="K38" s="12">
        <f t="shared" si="9"/>
        <v>0.19108930000191537</v>
      </c>
      <c r="L38" s="17">
        <f t="shared" si="10"/>
        <v>16.390519000000001</v>
      </c>
      <c r="M38" s="24">
        <f t="shared" si="11"/>
        <v>0</v>
      </c>
      <c r="N38" s="24">
        <f>(M38-'0. Current system'!$L38)</f>
        <v>-9.6442361400000003</v>
      </c>
      <c r="O38" s="12">
        <f>(M38-'0. Current system'!$L38)/'0. Current system'!$L38</f>
        <v>-1</v>
      </c>
      <c r="P38" s="1"/>
      <c r="Q38" s="2" t="s">
        <v>16</v>
      </c>
      <c r="R38" s="3" t="s">
        <v>10</v>
      </c>
      <c r="S38" s="3" t="s">
        <v>10</v>
      </c>
      <c r="T38" s="19">
        <v>0</v>
      </c>
      <c r="U38" s="19">
        <v>2.5816279999999998</v>
      </c>
      <c r="V38" s="19" t="s">
        <v>10</v>
      </c>
      <c r="W38" s="19">
        <v>8.2600440000000006</v>
      </c>
      <c r="X38" s="19">
        <v>5.5488479999999996</v>
      </c>
      <c r="Y38" s="12">
        <f t="shared" si="12"/>
        <v>0.50395252865680895</v>
      </c>
      <c r="Z38" s="12">
        <f t="shared" si="13"/>
        <v>0.32844162435896768</v>
      </c>
      <c r="AA38" s="17">
        <f t="shared" si="14"/>
        <v>16.390520000000002</v>
      </c>
      <c r="AB38" s="24">
        <f t="shared" si="15"/>
        <v>0</v>
      </c>
      <c r="AC38" s="24">
        <f>(AB38-'0. Current system'!$L38)</f>
        <v>-9.6442361400000003</v>
      </c>
      <c r="AD38" s="12">
        <f>(AB38-'0. Current system'!$L38)/'0. Current system'!$L38</f>
        <v>-1</v>
      </c>
      <c r="AE38" s="1"/>
      <c r="AF38" s="2" t="s">
        <v>16</v>
      </c>
      <c r="AG38" s="3" t="s">
        <v>10</v>
      </c>
      <c r="AH38" s="3" t="s">
        <v>10</v>
      </c>
      <c r="AI38" s="19">
        <v>0</v>
      </c>
      <c r="AJ38" s="19">
        <v>12.817952999999999</v>
      </c>
      <c r="AK38" s="19" t="s">
        <v>10</v>
      </c>
      <c r="AL38" s="19">
        <v>3.3084190000000002</v>
      </c>
      <c r="AM38" s="19">
        <v>0.26414799999999999</v>
      </c>
      <c r="AN38" s="12">
        <f t="shared" si="16"/>
        <v>0.20184954473683572</v>
      </c>
      <c r="AO38" s="12">
        <f t="shared" si="16"/>
        <v>1.5919847932978855E-2</v>
      </c>
      <c r="AP38" s="17">
        <f t="shared" si="17"/>
        <v>16.390519999999999</v>
      </c>
      <c r="AQ38" s="24">
        <f t="shared" si="18"/>
        <v>0</v>
      </c>
      <c r="AR38" s="24">
        <f>(AQ38-'0. Current system'!$L38)</f>
        <v>-9.6442361400000003</v>
      </c>
      <c r="AS38" s="24">
        <f>(AQ38-'2. Diesel-battery-storage'!$BK38)</f>
        <v>-0.24447324000000004</v>
      </c>
      <c r="AT38" s="32">
        <f>1+'2. Diesel-battery-storage'!$AG38</f>
        <v>2.5705905206091395E-2</v>
      </c>
      <c r="AU38" s="24">
        <f>-(AK11-'0. Current system'!$G11)*SUM(AG38:AM38)/(AQ38-'0. Current system'!$L38)</f>
        <v>-119.53409913340009</v>
      </c>
      <c r="AV38" s="24">
        <f>-(AK11-'2. Diesel-battery-storage'!$BE11)*SUM(AG38:AM38)/(AS38)</f>
        <v>1007.5087002649451</v>
      </c>
      <c r="AW38" s="27">
        <f>AV38*AS38/1000+'2. Diesel-battery-storage'!$BP38</f>
        <v>-1.6454329113886002</v>
      </c>
      <c r="AX38" s="41">
        <f>AW38/'0. Current system'!$L38*1000</f>
        <v>-170.61308822210157</v>
      </c>
      <c r="AY38" s="1"/>
      <c r="AZ38" s="2" t="s">
        <v>16</v>
      </c>
      <c r="BA38" s="3" t="s">
        <v>10</v>
      </c>
      <c r="BB38" s="3" t="s">
        <v>10</v>
      </c>
      <c r="BC38" s="19">
        <v>0</v>
      </c>
      <c r="BD38" s="19">
        <v>8.0274439999999991</v>
      </c>
      <c r="BE38" s="19" t="s">
        <v>10</v>
      </c>
      <c r="BF38" s="19">
        <v>5.3739309999999998</v>
      </c>
      <c r="BG38" s="19">
        <v>2.989144</v>
      </c>
      <c r="BH38" s="12">
        <f t="shared" si="19"/>
        <v>0.32786826335395486</v>
      </c>
      <c r="BI38" s="12">
        <f t="shared" si="20"/>
        <v>0.17879380067670078</v>
      </c>
      <c r="BJ38" s="17">
        <f t="shared" si="21"/>
        <v>16.390518999999998</v>
      </c>
      <c r="BK38" s="24">
        <f t="shared" si="22"/>
        <v>0</v>
      </c>
      <c r="BL38" s="24">
        <f>(BK38-'0. Current system'!$L38)</f>
        <v>-9.6442361400000003</v>
      </c>
      <c r="BM38" s="24">
        <f>-(BK38-'2. Diesel-battery-storage'!$BK38)</f>
        <v>0.24447324000000004</v>
      </c>
      <c r="BN38" s="32">
        <f>1+'2. Diesel-battery-storage'!$AG38</f>
        <v>2.5705905206091395E-2</v>
      </c>
      <c r="BO38" s="24">
        <f>-(BE11-'0. Current system'!$G11)*SUM(BA38:BG38)/(BK38-'0. Current system'!$L38)</f>
        <v>-125.18032592624986</v>
      </c>
      <c r="BP38" s="24">
        <f>(BE11-'2. Diesel-battery-storage'!$BE11)*SUM(BA38:BG38)/(BM38)</f>
        <v>784.77008947866796</v>
      </c>
      <c r="BQ38" s="27">
        <f>BP38*BM38/1000+'2. Diesel-battery-storage'!$BP38</f>
        <v>-1.2072687086767002</v>
      </c>
      <c r="BR38" s="41">
        <f>BQ38/'0. Current system'!$L38*1000</f>
        <v>-125.18033477731707</v>
      </c>
    </row>
    <row r="39" spans="1:70">
      <c r="A39" s="1"/>
      <c r="B39" s="2" t="s">
        <v>17</v>
      </c>
      <c r="C39" s="3">
        <v>6.1834980000000002</v>
      </c>
      <c r="D39" s="3" t="s">
        <v>10</v>
      </c>
      <c r="E39" s="19">
        <v>0</v>
      </c>
      <c r="F39" s="19">
        <v>437.91514699999999</v>
      </c>
      <c r="G39" s="19" t="s">
        <v>10</v>
      </c>
      <c r="H39" s="19">
        <v>367.23375800000002</v>
      </c>
      <c r="I39" s="19">
        <v>1009.740897</v>
      </c>
      <c r="J39" s="12">
        <f t="shared" si="9"/>
        <v>0.20165786736865562</v>
      </c>
      <c r="K39" s="12">
        <f t="shared" si="9"/>
        <v>0.55630303999875752</v>
      </c>
      <c r="L39" s="17">
        <f t="shared" si="10"/>
        <v>1821.0733</v>
      </c>
      <c r="M39" s="24">
        <f t="shared" si="11"/>
        <v>0</v>
      </c>
      <c r="N39" s="24">
        <f>(M39-'0. Current system'!$L39)</f>
        <v>-829.94320661999996</v>
      </c>
      <c r="O39" s="12">
        <f>(M39-'0. Current system'!$L39)/'0. Current system'!$L39</f>
        <v>-1</v>
      </c>
      <c r="P39" s="1"/>
      <c r="Q39" s="2" t="s">
        <v>17</v>
      </c>
      <c r="R39" s="3">
        <v>9.7528369999999995</v>
      </c>
      <c r="S39" s="3" t="s">
        <v>10</v>
      </c>
      <c r="T39" s="19">
        <v>0</v>
      </c>
      <c r="U39" s="19">
        <v>75.988969999999995</v>
      </c>
      <c r="V39" s="19" t="s">
        <v>10</v>
      </c>
      <c r="W39" s="19">
        <v>362.95446900000002</v>
      </c>
      <c r="X39" s="19">
        <v>1372.377023</v>
      </c>
      <c r="Y39" s="12">
        <f t="shared" si="12"/>
        <v>0.19930799556465298</v>
      </c>
      <c r="Z39" s="12">
        <f t="shared" si="13"/>
        <v>0.75758324349027673</v>
      </c>
      <c r="AA39" s="17">
        <f t="shared" si="14"/>
        <v>1821.0732990000001</v>
      </c>
      <c r="AB39" s="24">
        <f t="shared" si="15"/>
        <v>0</v>
      </c>
      <c r="AC39" s="24">
        <f>(AB39-'0. Current system'!$L39)</f>
        <v>-829.94320661999996</v>
      </c>
      <c r="AD39" s="12">
        <f>(AB39-'0. Current system'!$L39)/'0. Current system'!$L39</f>
        <v>-1</v>
      </c>
      <c r="AE39" s="1"/>
      <c r="AF39" s="2" t="s">
        <v>17</v>
      </c>
      <c r="AG39" s="3">
        <v>23.148422</v>
      </c>
      <c r="AH39" s="3" t="s">
        <v>10</v>
      </c>
      <c r="AI39" s="19">
        <v>0</v>
      </c>
      <c r="AJ39" s="19">
        <v>1027.0541929999999</v>
      </c>
      <c r="AK39" s="19" t="s">
        <v>10</v>
      </c>
      <c r="AL39" s="19">
        <v>419.26361300000002</v>
      </c>
      <c r="AM39" s="19">
        <v>351.60707200000002</v>
      </c>
      <c r="AN39" s="12">
        <f t="shared" si="16"/>
        <v>0.23022885075521124</v>
      </c>
      <c r="AO39" s="12">
        <f t="shared" si="16"/>
        <v>0.19553767673345823</v>
      </c>
      <c r="AP39" s="17">
        <f t="shared" si="17"/>
        <v>1821.0733</v>
      </c>
      <c r="AQ39" s="24">
        <f t="shared" si="18"/>
        <v>0</v>
      </c>
      <c r="AR39" s="24">
        <f>(AQ39-'0. Current system'!$L39)</f>
        <v>-829.94320661999996</v>
      </c>
      <c r="AS39" s="24">
        <f>(AQ39-'2. Diesel-battery-storage'!$BK39)</f>
        <v>-72.082975140000002</v>
      </c>
      <c r="AT39" s="32">
        <f>1+'2. Diesel-battery-storage'!$AG39</f>
        <v>0.11220365559620438</v>
      </c>
      <c r="AU39" s="24">
        <f>-(AK12-'0. Current system'!$G12)*SUM(AG39:AM39)/(AQ39-'0. Current system'!$L39)</f>
        <v>-172.60785489085234</v>
      </c>
      <c r="AV39" s="24">
        <f>-(AK12-'2. Diesel-battery-storage'!$BE12)*SUM(AG39:AM39)/(AS39)</f>
        <v>403.83144894430069</v>
      </c>
      <c r="AW39" s="27">
        <f>AV39*AS39/1000+'2. Diesel-battery-storage'!$BP39</f>
        <v>-201.47346116591802</v>
      </c>
      <c r="AX39" s="41">
        <f>AW39/'0. Current system'!$L39*1000</f>
        <v>-242.75572058289671</v>
      </c>
      <c r="AY39" s="1"/>
      <c r="AZ39" s="2" t="s">
        <v>17</v>
      </c>
      <c r="BA39" s="3">
        <v>7.3353409999999997</v>
      </c>
      <c r="BB39" s="3" t="s">
        <v>10</v>
      </c>
      <c r="BC39" s="19">
        <v>0</v>
      </c>
      <c r="BD39" s="19">
        <v>593.48453600000005</v>
      </c>
      <c r="BE39" s="19" t="s">
        <v>10</v>
      </c>
      <c r="BF39" s="19">
        <v>382.82495</v>
      </c>
      <c r="BG39" s="19">
        <v>837.42847400000005</v>
      </c>
      <c r="BH39" s="12">
        <f t="shared" si="19"/>
        <v>0.21021940730764685</v>
      </c>
      <c r="BI39" s="12">
        <f t="shared" si="20"/>
        <v>0.46166063810798758</v>
      </c>
      <c r="BJ39" s="17">
        <f t="shared" si="21"/>
        <v>1821.0733010000001</v>
      </c>
      <c r="BK39" s="24">
        <f t="shared" si="22"/>
        <v>0</v>
      </c>
      <c r="BL39" s="24">
        <f>(BK39-'0. Current system'!$L39)</f>
        <v>-829.94320661999996</v>
      </c>
      <c r="BM39" s="24">
        <f>-(BK39-'2. Diesel-battery-storage'!$BK39)</f>
        <v>72.082975140000002</v>
      </c>
      <c r="BN39" s="32">
        <f>1+'2. Diesel-battery-storage'!$AG39</f>
        <v>0.11220365559620438</v>
      </c>
      <c r="BO39" s="24">
        <f>-(BE12-'0. Current system'!$G12)*SUM(BA39:BG39)/(BK39-'0. Current system'!$L39)</f>
        <v>-192.16420516544747</v>
      </c>
      <c r="BP39" s="24">
        <f>(BE12-'2. Diesel-battery-storage'!$BE12)*SUM(BA39:BG39)/(BM39)</f>
        <v>178.66510515079929</v>
      </c>
      <c r="BQ39" s="27">
        <f>BP39*BM39/1000+'2. Diesel-battery-storage'!$BP39</f>
        <v>-159.48537653794526</v>
      </c>
      <c r="BR39" s="41">
        <f>BQ39/'0. Current system'!$L39*1000</f>
        <v>-192.1642050514038</v>
      </c>
    </row>
    <row r="40" spans="1:70">
      <c r="A40" s="1"/>
      <c r="B40" s="2" t="s">
        <v>18</v>
      </c>
      <c r="C40" s="3" t="s">
        <v>10</v>
      </c>
      <c r="D40" s="3" t="s">
        <v>10</v>
      </c>
      <c r="E40" s="19">
        <v>0</v>
      </c>
      <c r="F40" s="19">
        <v>147.04180199999999</v>
      </c>
      <c r="G40" s="19" t="s">
        <v>10</v>
      </c>
      <c r="H40" s="19">
        <v>95.773932000000002</v>
      </c>
      <c r="I40" s="19">
        <v>30.367115999999999</v>
      </c>
      <c r="J40" s="12">
        <f t="shared" si="9"/>
        <v>0.35058544853749057</v>
      </c>
      <c r="K40" s="12">
        <f t="shared" si="9"/>
        <v>0.11101793077034365</v>
      </c>
      <c r="L40" s="17">
        <f t="shared" si="10"/>
        <v>273.18284999999997</v>
      </c>
      <c r="M40" s="24">
        <f t="shared" si="11"/>
        <v>0</v>
      </c>
      <c r="N40" s="24">
        <f>(M40-'0. Current system'!$L40)</f>
        <v>-172.2500307</v>
      </c>
      <c r="O40" s="12">
        <f>(M40-'0. Current system'!$L40)/'0. Current system'!$L40</f>
        <v>-1</v>
      </c>
      <c r="P40" s="1"/>
      <c r="Q40" s="2" t="s">
        <v>18</v>
      </c>
      <c r="R40" s="3" t="s">
        <v>10</v>
      </c>
      <c r="S40" s="3" t="s">
        <v>10</v>
      </c>
      <c r="T40" s="19">
        <v>0</v>
      </c>
      <c r="U40" s="19">
        <v>23.010425000000001</v>
      </c>
      <c r="V40" s="19" t="s">
        <v>10</v>
      </c>
      <c r="W40" s="19">
        <v>165.59342699999999</v>
      </c>
      <c r="X40" s="19">
        <v>84.578997999999999</v>
      </c>
      <c r="Y40" s="12">
        <f t="shared" si="12"/>
        <v>0.60616333345962237</v>
      </c>
      <c r="Z40" s="12">
        <f t="shared" si="13"/>
        <v>0.30892035063871442</v>
      </c>
      <c r="AA40" s="17">
        <f t="shared" si="14"/>
        <v>273.18284999999997</v>
      </c>
      <c r="AB40" s="24">
        <f t="shared" si="15"/>
        <v>0</v>
      </c>
      <c r="AC40" s="24">
        <f>(AB40-'0. Current system'!$L40)</f>
        <v>-172.2500307</v>
      </c>
      <c r="AD40" s="12">
        <f>(AB40-'0. Current system'!$L40)/'0. Current system'!$L40</f>
        <v>-1</v>
      </c>
      <c r="AE40" s="1"/>
      <c r="AF40" s="2" t="s">
        <v>18</v>
      </c>
      <c r="AG40" s="3" t="s">
        <v>10</v>
      </c>
      <c r="AH40" s="3" t="s">
        <v>10</v>
      </c>
      <c r="AI40" s="19">
        <v>0</v>
      </c>
      <c r="AJ40" s="19">
        <v>185.03437500000001</v>
      </c>
      <c r="AK40" s="19" t="s">
        <v>10</v>
      </c>
      <c r="AL40" s="19">
        <v>78.701302999999996</v>
      </c>
      <c r="AM40" s="19">
        <v>9.4471710000000009</v>
      </c>
      <c r="AN40" s="12">
        <f t="shared" si="16"/>
        <v>0.28809020510654382</v>
      </c>
      <c r="AO40" s="12">
        <f t="shared" si="16"/>
        <v>3.4545429314939043E-2</v>
      </c>
      <c r="AP40" s="17">
        <f t="shared" si="17"/>
        <v>273.18284900000003</v>
      </c>
      <c r="AQ40" s="24">
        <f t="shared" si="18"/>
        <v>0</v>
      </c>
      <c r="AR40" s="24">
        <f>(AQ40-'0. Current system'!$L40)</f>
        <v>-172.2500307</v>
      </c>
      <c r="AS40" s="24">
        <f>(AQ40-'2. Diesel-battery-storage'!$BK40)</f>
        <v>-13.651565400000001</v>
      </c>
      <c r="AT40" s="32">
        <f>1+'2. Diesel-battery-storage'!$AG40</f>
        <v>8.2646568492019346E-2</v>
      </c>
      <c r="AU40" s="24">
        <f>-(AK13-'0. Current system'!$G13)*SUM(AG40:AM40)/(AQ40-'0. Current system'!$L40)</f>
        <v>-120.8131197016384</v>
      </c>
      <c r="AV40" s="24">
        <f>-(AK13-'2. Diesel-battery-storage'!$BE13)*SUM(AG40:AM40)/(AS40)</f>
        <v>450.68782721778251</v>
      </c>
      <c r="AW40" s="27">
        <f>AV40*AS40/1000+'2. Diesel-battery-storage'!$BP40</f>
        <v>-33.115252372763116</v>
      </c>
      <c r="AX40" s="41">
        <f>AW40/'0. Current system'!$L40*1000</f>
        <v>-192.25106804444312</v>
      </c>
      <c r="AY40" s="1"/>
      <c r="AZ40" s="2" t="s">
        <v>18</v>
      </c>
      <c r="BA40" s="3" t="s">
        <v>10</v>
      </c>
      <c r="BB40" s="3" t="s">
        <v>10</v>
      </c>
      <c r="BC40" s="19">
        <v>0</v>
      </c>
      <c r="BD40" s="19">
        <v>147.04180199999999</v>
      </c>
      <c r="BE40" s="19" t="s">
        <v>10</v>
      </c>
      <c r="BF40" s="19">
        <v>96.052554999999998</v>
      </c>
      <c r="BG40" s="19">
        <v>30.088493</v>
      </c>
      <c r="BH40" s="12">
        <f t="shared" si="19"/>
        <v>0.35160536248889707</v>
      </c>
      <c r="BI40" s="12">
        <f t="shared" si="20"/>
        <v>0.10999891388500441</v>
      </c>
      <c r="BJ40" s="17">
        <f t="shared" si="21"/>
        <v>273.18285000000003</v>
      </c>
      <c r="BK40" s="24">
        <f t="shared" si="22"/>
        <v>0</v>
      </c>
      <c r="BL40" s="24">
        <f>(BK40-'0. Current system'!$L40)</f>
        <v>-172.2500307</v>
      </c>
      <c r="BM40" s="24">
        <f>-(BK40-'2. Diesel-battery-storage'!$BK40)</f>
        <v>13.651565400000001</v>
      </c>
      <c r="BN40" s="32">
        <f>1+'2. Diesel-battery-storage'!$AG40</f>
        <v>8.2646568492019346E-2</v>
      </c>
      <c r="BO40" s="24">
        <f>-(BE13-'0. Current system'!$G13)*SUM(BA40:BG40)/(BK40-'0. Current system'!$L40)</f>
        <v>-126.93030397127792</v>
      </c>
      <c r="BP40" s="24">
        <f>(BE13-'2. Diesel-battery-storage'!$BE13)*SUM(BA40:BG40)/(BM40)</f>
        <v>373.50363268249811</v>
      </c>
      <c r="BQ40" s="27">
        <f>BP40*BM40/1000+'2. Diesel-battery-storage'!$BP40</f>
        <v>-21.863748755812953</v>
      </c>
      <c r="BR40" s="41">
        <f>BQ40/'0. Current system'!$L40*1000</f>
        <v>-126.93030397127791</v>
      </c>
    </row>
    <row r="41" spans="1:70">
      <c r="A41" s="1"/>
      <c r="B41" s="2" t="s">
        <v>19</v>
      </c>
      <c r="C41" s="3" t="s">
        <v>10</v>
      </c>
      <c r="D41" s="3" t="s">
        <v>10</v>
      </c>
      <c r="E41" s="19">
        <v>0</v>
      </c>
      <c r="F41" s="19">
        <v>0</v>
      </c>
      <c r="G41" s="19">
        <v>3.982748</v>
      </c>
      <c r="H41" s="19">
        <v>46.581035</v>
      </c>
      <c r="I41" s="19">
        <v>131.55281600000001</v>
      </c>
      <c r="J41" s="12">
        <f t="shared" si="9"/>
        <v>0.25577588894024977</v>
      </c>
      <c r="K41" s="12">
        <f t="shared" si="9"/>
        <v>0.72134179356995287</v>
      </c>
      <c r="L41" s="17">
        <f t="shared" si="10"/>
        <v>182.11659900000001</v>
      </c>
      <c r="M41" s="24">
        <f t="shared" si="11"/>
        <v>0</v>
      </c>
      <c r="N41" s="24">
        <f>(M41-'0. Current system'!$L41)</f>
        <v>-85.727509560000001</v>
      </c>
      <c r="O41" s="12">
        <f>(M41-'0. Current system'!$L41)/'0. Current system'!$L41</f>
        <v>-1</v>
      </c>
      <c r="P41" s="1"/>
      <c r="Q41" s="2" t="s">
        <v>19</v>
      </c>
      <c r="R41" s="3" t="s">
        <v>10</v>
      </c>
      <c r="S41" s="3" t="s">
        <v>10</v>
      </c>
      <c r="T41" s="19">
        <v>0</v>
      </c>
      <c r="U41" s="19">
        <v>3.9427999999999998E-2</v>
      </c>
      <c r="V41" s="19">
        <v>4.5946530000000001</v>
      </c>
      <c r="W41" s="19">
        <v>56.877186000000002</v>
      </c>
      <c r="X41" s="19">
        <v>120.605334</v>
      </c>
      <c r="Y41" s="12">
        <f t="shared" si="12"/>
        <v>0.31231192372187971</v>
      </c>
      <c r="Z41" s="12">
        <f t="shared" si="13"/>
        <v>0.66110865907767657</v>
      </c>
      <c r="AA41" s="17">
        <f t="shared" si="14"/>
        <v>182.116601</v>
      </c>
      <c r="AB41" s="24">
        <f t="shared" si="15"/>
        <v>0</v>
      </c>
      <c r="AC41" s="24">
        <f>(AB41-'0. Current system'!$L41)</f>
        <v>-85.727509560000001</v>
      </c>
      <c r="AD41" s="12">
        <f>(AB41-'0. Current system'!$L41)/'0. Current system'!$L41</f>
        <v>-1</v>
      </c>
      <c r="AE41" s="1"/>
      <c r="AF41" s="2" t="s">
        <v>19</v>
      </c>
      <c r="AG41" s="3" t="s">
        <v>10</v>
      </c>
      <c r="AH41" s="3" t="s">
        <v>10</v>
      </c>
      <c r="AI41" s="19">
        <v>0</v>
      </c>
      <c r="AJ41" s="19">
        <v>38.888089999999998</v>
      </c>
      <c r="AK41" s="19">
        <v>29.768454999999999</v>
      </c>
      <c r="AL41" s="19">
        <v>65.623777000000004</v>
      </c>
      <c r="AM41" s="19">
        <v>47.836278</v>
      </c>
      <c r="AN41" s="12">
        <f t="shared" si="16"/>
        <v>0.36033934852726224</v>
      </c>
      <c r="AO41" s="12">
        <f t="shared" si="16"/>
        <v>0.26214971694934924</v>
      </c>
      <c r="AP41" s="17">
        <f t="shared" si="17"/>
        <v>182.11660000000001</v>
      </c>
      <c r="AQ41" s="24">
        <f t="shared" si="18"/>
        <v>0</v>
      </c>
      <c r="AR41" s="24">
        <f>(AQ41-'0. Current system'!$L41)</f>
        <v>-85.727509560000001</v>
      </c>
      <c r="AS41" s="24">
        <f>(AQ41-'2. Diesel-battery-storage'!$BK41)</f>
        <v>-5.7058056000000006</v>
      </c>
      <c r="AT41" s="32">
        <f>1+'2. Diesel-battery-storage'!$AG41</f>
        <v>6.6557463634314029E-2</v>
      </c>
      <c r="AU41" s="24">
        <f>-(AK14-'0. Current system'!$G14)*SUM(AG41:AM41)/(AQ41-'0. Current system'!$L41)</f>
        <v>-168.31004726349596</v>
      </c>
      <c r="AV41" s="24">
        <f>-(AK14-'2. Diesel-battery-storage'!$BE14)*SUM(AG41:AM41)/(AS41)</f>
        <v>840.42933388666438</v>
      </c>
      <c r="AW41" s="27">
        <f>AV41*AS41/1000+'2. Diesel-battery-storage'!$BP41</f>
        <v>-24.019453985215002</v>
      </c>
      <c r="AX41" s="41">
        <f>AW41/'0. Current system'!$L41*1000</f>
        <v>-280.18373691824064</v>
      </c>
      <c r="AY41" s="1"/>
      <c r="AZ41" s="2" t="s">
        <v>19</v>
      </c>
      <c r="BA41" s="3" t="s">
        <v>10</v>
      </c>
      <c r="BB41" s="3" t="s">
        <v>10</v>
      </c>
      <c r="BC41" s="19">
        <v>0</v>
      </c>
      <c r="BD41" s="19">
        <v>0</v>
      </c>
      <c r="BE41" s="19">
        <v>4.1830959999999999</v>
      </c>
      <c r="BF41" s="19">
        <v>55.985793000000001</v>
      </c>
      <c r="BG41" s="19">
        <v>121.947711</v>
      </c>
      <c r="BH41" s="12">
        <f t="shared" si="19"/>
        <v>0.30741729748963026</v>
      </c>
      <c r="BI41" s="12">
        <f t="shared" si="20"/>
        <v>0.66848495503271732</v>
      </c>
      <c r="BJ41" s="17">
        <f t="shared" si="21"/>
        <v>182.11660000000001</v>
      </c>
      <c r="BK41" s="24">
        <f t="shared" si="22"/>
        <v>0</v>
      </c>
      <c r="BL41" s="24">
        <f>(BK41-'0. Current system'!$L41)</f>
        <v>-85.727509560000001</v>
      </c>
      <c r="BM41" s="24">
        <f>-(BK41-'2. Diesel-battery-storage'!$BK41)</f>
        <v>5.7058056000000006</v>
      </c>
      <c r="BN41" s="32">
        <f>1+'2. Diesel-battery-storage'!$AG41</f>
        <v>6.6557463634314029E-2</v>
      </c>
      <c r="BO41" s="24">
        <f>-(BE14-'0. Current system'!$G14)*SUM(BA41:BG41)/(BK41-'0. Current system'!$L41)</f>
        <v>-201.49582316147718</v>
      </c>
      <c r="BP41" s="24">
        <f>(BE14-'2. Diesel-battery-storage'!$BE14)*SUM(BA41:BG41)/(BM41)</f>
        <v>341.82596041207569</v>
      </c>
      <c r="BQ41" s="27">
        <f>BP41*BM41/1000+'2. Diesel-battery-storage'!$BP41</f>
        <v>-17.2737351063756</v>
      </c>
      <c r="BR41" s="41">
        <f>BQ41/'0. Current system'!$L41*1000</f>
        <v>-201.49582316147712</v>
      </c>
    </row>
    <row r="42" spans="1:70">
      <c r="A42" s="1"/>
      <c r="P42" s="1"/>
      <c r="AE42" s="1"/>
      <c r="AY42" s="1"/>
    </row>
    <row r="43" spans="1:70">
      <c r="A43" s="1"/>
      <c r="B43" s="2" t="s">
        <v>9</v>
      </c>
      <c r="C43" t="e">
        <f t="shared" ref="C43:I43" si="23">C32/(C19*8.76)</f>
        <v>#VALUE!</v>
      </c>
      <c r="D43" t="e">
        <f t="shared" si="23"/>
        <v>#VALUE!</v>
      </c>
      <c r="E43" s="6">
        <f t="shared" si="23"/>
        <v>9.2616274296684148E-2</v>
      </c>
      <c r="F43" s="6" t="e">
        <f t="shared" si="23"/>
        <v>#VALUE!</v>
      </c>
      <c r="G43" s="6" t="e">
        <f t="shared" si="23"/>
        <v>#VALUE!</v>
      </c>
      <c r="H43" s="6">
        <f t="shared" si="23"/>
        <v>0.13791237696150704</v>
      </c>
      <c r="I43" s="6">
        <f t="shared" si="23"/>
        <v>0.36594776644452498</v>
      </c>
      <c r="J43" s="6"/>
      <c r="K43" s="6"/>
      <c r="L43" s="6"/>
      <c r="M43" s="6"/>
      <c r="N43" s="6"/>
      <c r="O43" s="6"/>
      <c r="P43" s="1"/>
      <c r="Q43" s="2" t="s">
        <v>9</v>
      </c>
      <c r="R43" t="e">
        <f t="shared" ref="R43:X43" si="24">R32/(R19*8.76)</f>
        <v>#VALUE!</v>
      </c>
      <c r="S43" t="e">
        <f t="shared" si="24"/>
        <v>#VALUE!</v>
      </c>
      <c r="T43" s="6">
        <f t="shared" si="24"/>
        <v>9.2572356102703812E-2</v>
      </c>
      <c r="U43" s="6" t="e">
        <f t="shared" si="24"/>
        <v>#VALUE!</v>
      </c>
      <c r="V43" s="6" t="e">
        <f t="shared" si="24"/>
        <v>#VALUE!</v>
      </c>
      <c r="W43" s="6">
        <f t="shared" si="24"/>
        <v>0.12943588896815975</v>
      </c>
      <c r="X43" s="6">
        <f t="shared" si="24"/>
        <v>0.37433949814080014</v>
      </c>
      <c r="Y43" s="6"/>
      <c r="Z43" s="6"/>
      <c r="AA43" s="6"/>
      <c r="AB43" s="6"/>
      <c r="AC43" s="6"/>
      <c r="AD43" s="6"/>
      <c r="AE43" s="1"/>
      <c r="AF43" s="2" t="s">
        <v>9</v>
      </c>
      <c r="AG43" t="e">
        <f t="shared" ref="AG43:AM43" si="25">AG32/(AG19*8.76)</f>
        <v>#VALUE!</v>
      </c>
      <c r="AH43" t="e">
        <f t="shared" si="25"/>
        <v>#VALUE!</v>
      </c>
      <c r="AI43" s="6">
        <f t="shared" si="25"/>
        <v>0.28847128686476836</v>
      </c>
      <c r="AJ43" s="6" t="e">
        <f t="shared" si="25"/>
        <v>#VALUE!</v>
      </c>
      <c r="AK43" s="6" t="e">
        <f t="shared" si="25"/>
        <v>#VALUE!</v>
      </c>
      <c r="AL43" s="6">
        <f t="shared" si="25"/>
        <v>0.19932685552199664</v>
      </c>
      <c r="AM43" s="6">
        <f t="shared" si="25"/>
        <v>0.50358508450402861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1"/>
      <c r="AZ43" s="2" t="s">
        <v>9</v>
      </c>
      <c r="BA43" t="e">
        <f t="shared" ref="BA43:BG43" si="26">BA32/(BA19*8.76)</f>
        <v>#VALUE!</v>
      </c>
      <c r="BB43" t="e">
        <f t="shared" si="26"/>
        <v>#VALUE!</v>
      </c>
      <c r="BC43" s="6">
        <f t="shared" si="26"/>
        <v>9.2572356102703812E-2</v>
      </c>
      <c r="BD43" s="6" t="e">
        <f t="shared" si="26"/>
        <v>#VALUE!</v>
      </c>
      <c r="BE43" s="6" t="e">
        <f t="shared" si="26"/>
        <v>#VALUE!</v>
      </c>
      <c r="BF43" s="6">
        <f t="shared" si="26"/>
        <v>0.12924032101022298</v>
      </c>
      <c r="BG43" s="6">
        <f t="shared" si="26"/>
        <v>0.37452897634314447</v>
      </c>
      <c r="BH43" s="6"/>
      <c r="BI43" s="6"/>
      <c r="BJ43" s="6"/>
      <c r="BK43" s="6"/>
      <c r="BL43" s="6"/>
      <c r="BM43" s="6"/>
    </row>
    <row r="44" spans="1:70">
      <c r="A44" s="1"/>
      <c r="B44" s="2" t="s">
        <v>11</v>
      </c>
      <c r="C44" t="e">
        <f t="shared" ref="C44:I44" si="27">C33/(C20*8.76)</f>
        <v>#DIV/0!</v>
      </c>
      <c r="D44" t="e">
        <f t="shared" si="27"/>
        <v>#VALUE!</v>
      </c>
      <c r="E44" s="6">
        <f t="shared" si="27"/>
        <v>0.11374651325239821</v>
      </c>
      <c r="F44" s="6" t="e">
        <f t="shared" si="27"/>
        <v>#VALUE!</v>
      </c>
      <c r="G44" s="6" t="e">
        <f t="shared" si="27"/>
        <v>#VALUE!</v>
      </c>
      <c r="H44" s="6">
        <f t="shared" si="27"/>
        <v>0.15196665381988506</v>
      </c>
      <c r="I44" s="6">
        <f t="shared" si="27"/>
        <v>0.49844126407914763</v>
      </c>
      <c r="J44" s="6"/>
      <c r="K44" s="6"/>
      <c r="L44" s="6"/>
      <c r="M44" s="6"/>
      <c r="N44" s="6"/>
      <c r="O44" s="6"/>
      <c r="P44" s="1"/>
      <c r="Q44" s="2" t="s">
        <v>11</v>
      </c>
      <c r="R44" t="e">
        <f t="shared" ref="R44:X44" si="28">R33/(R20*8.76)</f>
        <v>#DIV/0!</v>
      </c>
      <c r="S44" t="e">
        <f t="shared" si="28"/>
        <v>#VALUE!</v>
      </c>
      <c r="T44" s="6">
        <f t="shared" si="28"/>
        <v>0.11374651325239821</v>
      </c>
      <c r="U44" s="6" t="e">
        <f t="shared" si="28"/>
        <v>#VALUE!</v>
      </c>
      <c r="V44" s="6" t="e">
        <f t="shared" si="28"/>
        <v>#VALUE!</v>
      </c>
      <c r="W44" s="6">
        <f t="shared" si="28"/>
        <v>0.16072088977571528</v>
      </c>
      <c r="X44" s="6">
        <f t="shared" si="28"/>
        <v>0.47776035388127852</v>
      </c>
      <c r="Y44" s="6"/>
      <c r="Z44" s="6"/>
      <c r="AA44" s="6"/>
      <c r="AB44" s="6"/>
      <c r="AC44" s="6"/>
      <c r="AD44" s="6"/>
      <c r="AE44" s="1"/>
      <c r="AF44" s="2" t="s">
        <v>11</v>
      </c>
      <c r="AG44">
        <f t="shared" ref="AG44:AM44" si="29">AG33/(AG20*8.76)</f>
        <v>0.79601111872146124</v>
      </c>
      <c r="AH44" t="e">
        <f t="shared" si="29"/>
        <v>#VALUE!</v>
      </c>
      <c r="AI44" s="6">
        <f t="shared" si="29"/>
        <v>0.24271312086070651</v>
      </c>
      <c r="AJ44" s="6" t="e">
        <f t="shared" si="29"/>
        <v>#VALUE!</v>
      </c>
      <c r="AK44" s="6" t="e">
        <f t="shared" si="29"/>
        <v>#VALUE!</v>
      </c>
      <c r="AL44" s="6">
        <f t="shared" si="29"/>
        <v>0.19879681281435829</v>
      </c>
      <c r="AM44" s="6">
        <f t="shared" si="29"/>
        <v>0.55980810110242984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1"/>
      <c r="AZ44" s="2" t="s">
        <v>11</v>
      </c>
      <c r="BA44" t="e">
        <f t="shared" ref="BA44:BG44" si="30">BA33/(BA20*8.76)</f>
        <v>#DIV/0!</v>
      </c>
      <c r="BB44" t="e">
        <f t="shared" si="30"/>
        <v>#VALUE!</v>
      </c>
      <c r="BC44" s="6">
        <f t="shared" si="30"/>
        <v>0.11374651325239821</v>
      </c>
      <c r="BD44" s="6" t="e">
        <f t="shared" si="30"/>
        <v>#VALUE!</v>
      </c>
      <c r="BE44" s="6" t="e">
        <f t="shared" si="30"/>
        <v>#VALUE!</v>
      </c>
      <c r="BF44" s="6">
        <f t="shared" si="30"/>
        <v>0.16066355642296071</v>
      </c>
      <c r="BG44" s="6">
        <f t="shared" si="30"/>
        <v>0.47789579680365296</v>
      </c>
      <c r="BH44" s="6"/>
      <c r="BI44" s="6"/>
      <c r="BJ44" s="6"/>
      <c r="BK44" s="6"/>
      <c r="BL44" s="6"/>
      <c r="BM44" s="6"/>
    </row>
    <row r="45" spans="1:70">
      <c r="A45" s="1"/>
      <c r="B45" s="2" t="s">
        <v>12</v>
      </c>
      <c r="C45" t="e">
        <f t="shared" ref="C45:I45" si="31">C34/(C21*8.76)</f>
        <v>#VALUE!</v>
      </c>
      <c r="D45" t="e">
        <f t="shared" si="31"/>
        <v>#VALUE!</v>
      </c>
      <c r="E45" s="6" t="e">
        <f t="shared" si="31"/>
        <v>#DIV/0!</v>
      </c>
      <c r="F45" s="6">
        <f t="shared" si="31"/>
        <v>0.62965905631659058</v>
      </c>
      <c r="G45" s="6">
        <f t="shared" si="31"/>
        <v>0.7738982288639823</v>
      </c>
      <c r="H45" s="6" t="e">
        <f t="shared" si="31"/>
        <v>#DIV/0!</v>
      </c>
      <c r="I45" s="6" t="e">
        <f t="shared" si="31"/>
        <v>#DIV/0!</v>
      </c>
      <c r="J45" s="6"/>
      <c r="K45" s="6"/>
      <c r="L45" s="6"/>
      <c r="M45" s="6"/>
      <c r="N45" s="6"/>
      <c r="O45" s="6"/>
      <c r="P45" s="1"/>
      <c r="Q45" s="2" t="s">
        <v>12</v>
      </c>
      <c r="R45" t="e">
        <f t="shared" ref="R45:X45" si="32">R34/(R21*8.76)</f>
        <v>#VALUE!</v>
      </c>
      <c r="S45" t="e">
        <f t="shared" si="32"/>
        <v>#VALUE!</v>
      </c>
      <c r="T45" s="6" t="e">
        <f t="shared" si="32"/>
        <v>#DIV/0!</v>
      </c>
      <c r="U45" s="6">
        <f t="shared" si="32"/>
        <v>0.21156054033485538</v>
      </c>
      <c r="V45" s="6">
        <f t="shared" si="32"/>
        <v>0.9563085478068355</v>
      </c>
      <c r="W45" s="6" t="e">
        <f t="shared" si="32"/>
        <v>#DIV/0!</v>
      </c>
      <c r="X45" s="6">
        <f t="shared" si="32"/>
        <v>0.56642351854858608</v>
      </c>
      <c r="Y45" s="6"/>
      <c r="Z45" s="6"/>
      <c r="AA45" s="6"/>
      <c r="AB45" s="6"/>
      <c r="AC45" s="6"/>
      <c r="AD45" s="6"/>
      <c r="AE45" s="1"/>
      <c r="AF45" s="2" t="s">
        <v>12</v>
      </c>
      <c r="AG45" t="e">
        <f t="shared" ref="AG45:AM45" si="33">AG34/(AG21*8.76)</f>
        <v>#VALUE!</v>
      </c>
      <c r="AH45" t="e">
        <f t="shared" si="33"/>
        <v>#VALUE!</v>
      </c>
      <c r="AI45" s="6" t="e">
        <f t="shared" si="33"/>
        <v>#DIV/0!</v>
      </c>
      <c r="AJ45" s="6">
        <f t="shared" si="33"/>
        <v>0.62965905631659058</v>
      </c>
      <c r="AK45" s="6">
        <f t="shared" si="33"/>
        <v>0.7738982288639823</v>
      </c>
      <c r="AL45" s="6" t="e">
        <f t="shared" si="33"/>
        <v>#DIV/0!</v>
      </c>
      <c r="AM45" s="6" t="e">
        <f t="shared" si="33"/>
        <v>#DIV/0!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1"/>
      <c r="AZ45" s="2" t="s">
        <v>12</v>
      </c>
      <c r="BA45" t="e">
        <f t="shared" ref="BA45:BG45" si="34">BA34/(BA21*8.76)</f>
        <v>#VALUE!</v>
      </c>
      <c r="BB45" t="e">
        <f t="shared" si="34"/>
        <v>#VALUE!</v>
      </c>
      <c r="BC45" s="6" t="e">
        <f t="shared" si="34"/>
        <v>#DIV/0!</v>
      </c>
      <c r="BD45" s="6">
        <f t="shared" si="34"/>
        <v>0.62965905631659058</v>
      </c>
      <c r="BE45" s="6">
        <f t="shared" si="34"/>
        <v>0.7738982288639823</v>
      </c>
      <c r="BF45" s="6" t="e">
        <f t="shared" si="34"/>
        <v>#DIV/0!</v>
      </c>
      <c r="BG45" s="6" t="e">
        <f t="shared" si="34"/>
        <v>#DIV/0!</v>
      </c>
      <c r="BH45" s="6"/>
      <c r="BI45" s="6"/>
      <c r="BJ45" s="6"/>
      <c r="BK45" s="6"/>
      <c r="BL45" s="6"/>
      <c r="BM45" s="6"/>
    </row>
    <row r="46" spans="1:70">
      <c r="A46" s="1"/>
      <c r="B46" s="2" t="s">
        <v>13</v>
      </c>
      <c r="C46" s="6">
        <f t="shared" ref="C46:I46" si="35">C35/(C22*8.76)</f>
        <v>1.1103698630136986E-2</v>
      </c>
      <c r="D46" t="e">
        <f t="shared" si="35"/>
        <v>#DIV/0!</v>
      </c>
      <c r="E46" s="6" t="e">
        <f t="shared" si="35"/>
        <v>#DIV/0!</v>
      </c>
      <c r="F46" s="6">
        <f t="shared" si="35"/>
        <v>0.60675256735159822</v>
      </c>
      <c r="G46" s="6">
        <f t="shared" si="35"/>
        <v>5.3502343987823435E-2</v>
      </c>
      <c r="H46" s="6">
        <f t="shared" si="35"/>
        <v>9.8932200042426643E-2</v>
      </c>
      <c r="I46" s="6">
        <f t="shared" si="35"/>
        <v>0.42866609710192966</v>
      </c>
      <c r="J46" s="6"/>
      <c r="K46" s="6"/>
      <c r="L46" s="6"/>
      <c r="M46" s="6"/>
      <c r="N46" s="6"/>
      <c r="O46" s="6"/>
      <c r="P46" s="1"/>
      <c r="Q46" s="2" t="s">
        <v>13</v>
      </c>
      <c r="R46" s="6">
        <f t="shared" ref="R46:X46" si="36">R35/(R22*8.76)</f>
        <v>1.1103698630136986E-2</v>
      </c>
      <c r="S46" t="e">
        <f t="shared" si="36"/>
        <v>#DIV/0!</v>
      </c>
      <c r="T46" s="6" t="e">
        <f t="shared" si="36"/>
        <v>#DIV/0!</v>
      </c>
      <c r="U46" s="6">
        <f t="shared" si="36"/>
        <v>9.9160950913242007E-2</v>
      </c>
      <c r="V46" s="6">
        <f t="shared" si="36"/>
        <v>0.3743235692541857</v>
      </c>
      <c r="W46" s="6">
        <f t="shared" si="36"/>
        <v>0.13129444481092248</v>
      </c>
      <c r="X46" s="6">
        <f t="shared" si="36"/>
        <v>0.48974121664098208</v>
      </c>
      <c r="Y46" s="6"/>
      <c r="Z46" s="6"/>
      <c r="AA46" s="6"/>
      <c r="AB46" s="6"/>
      <c r="AC46" s="6"/>
      <c r="AD46" s="6"/>
      <c r="AE46" s="1"/>
      <c r="AF46" s="2" t="s">
        <v>13</v>
      </c>
      <c r="AG46" s="6">
        <f t="shared" ref="AG46:AM46" si="37">AG35/(AG22*8.76)</f>
        <v>1.1921529680365299E-2</v>
      </c>
      <c r="AH46" t="e">
        <f t="shared" si="37"/>
        <v>#DIV/0!</v>
      </c>
      <c r="AI46" s="6" t="e">
        <f t="shared" si="37"/>
        <v>#DIV/0!</v>
      </c>
      <c r="AJ46" s="6">
        <f t="shared" si="37"/>
        <v>0.69209516308835839</v>
      </c>
      <c r="AK46" s="6">
        <f t="shared" si="37"/>
        <v>0.88706308219178087</v>
      </c>
      <c r="AL46" s="6">
        <f t="shared" si="37"/>
        <v>0.20194777968232808</v>
      </c>
      <c r="AM46" s="6">
        <f t="shared" si="37"/>
        <v>0.51921416662785613</v>
      </c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1"/>
      <c r="AZ46" s="2" t="s">
        <v>13</v>
      </c>
      <c r="BA46" s="6">
        <f t="shared" ref="BA46:BG46" si="38">BA35/(BA22*8.76)</f>
        <v>9.3926027397260269E-3</v>
      </c>
      <c r="BB46" t="e">
        <f t="shared" si="38"/>
        <v>#DIV/0!</v>
      </c>
      <c r="BC46" s="6" t="e">
        <f t="shared" si="38"/>
        <v>#DIV/0!</v>
      </c>
      <c r="BD46" s="6">
        <f t="shared" si="38"/>
        <v>0.60659459318589992</v>
      </c>
      <c r="BE46" s="6">
        <f t="shared" si="38"/>
        <v>4.2550631659056315E-2</v>
      </c>
      <c r="BF46" s="6">
        <f t="shared" si="38"/>
        <v>0.11805818758545718</v>
      </c>
      <c r="BG46" s="6">
        <f t="shared" si="38"/>
        <v>0.39584162011656904</v>
      </c>
      <c r="BH46" s="6"/>
      <c r="BI46" s="6"/>
      <c r="BJ46" s="6"/>
      <c r="BK46" s="6"/>
      <c r="BL46" s="6"/>
      <c r="BM46" s="6"/>
    </row>
    <row r="47" spans="1:70">
      <c r="A47" s="1"/>
      <c r="B47" s="2" t="s">
        <v>14</v>
      </c>
      <c r="C47" s="6" t="e">
        <f t="shared" ref="C47:I47" si="39">C36/(C23*8.76)</f>
        <v>#VALUE!</v>
      </c>
      <c r="D47" t="e">
        <f t="shared" si="39"/>
        <v>#VALUE!</v>
      </c>
      <c r="E47" s="6" t="e">
        <f t="shared" si="39"/>
        <v>#DIV/0!</v>
      </c>
      <c r="F47" s="6">
        <f t="shared" si="39"/>
        <v>0.60387261808853754</v>
      </c>
      <c r="G47" s="6" t="e">
        <f t="shared" si="39"/>
        <v>#DIV/0!</v>
      </c>
      <c r="H47" s="6">
        <f t="shared" si="39"/>
        <v>7.3946879343755351E-2</v>
      </c>
      <c r="I47" s="6">
        <f t="shared" si="39"/>
        <v>0.24418025244961189</v>
      </c>
      <c r="J47" s="6"/>
      <c r="K47" s="6"/>
      <c r="L47" s="6"/>
      <c r="M47" s="6"/>
      <c r="N47" s="6"/>
      <c r="O47" s="6"/>
      <c r="P47" s="1"/>
      <c r="Q47" s="2" t="s">
        <v>14</v>
      </c>
      <c r="R47" s="6" t="e">
        <f t="shared" ref="R47:X47" si="40">R36/(R23*8.76)</f>
        <v>#VALUE!</v>
      </c>
      <c r="S47" t="e">
        <f t="shared" si="40"/>
        <v>#VALUE!</v>
      </c>
      <c r="T47" s="6" t="e">
        <f t="shared" si="40"/>
        <v>#DIV/0!</v>
      </c>
      <c r="U47" s="6">
        <f t="shared" si="40"/>
        <v>6.3316329189537834E-2</v>
      </c>
      <c r="V47" s="6" t="e">
        <f t="shared" si="40"/>
        <v>#DIV/0!</v>
      </c>
      <c r="W47" s="6">
        <f t="shared" si="40"/>
        <v>0.12026996349099908</v>
      </c>
      <c r="X47" s="6">
        <f t="shared" si="40"/>
        <v>0.33425119185500268</v>
      </c>
      <c r="Y47" s="6"/>
      <c r="Z47" s="6"/>
      <c r="AA47" s="6"/>
      <c r="AB47" s="6"/>
      <c r="AC47" s="6"/>
      <c r="AD47" s="6"/>
      <c r="AE47" s="1"/>
      <c r="AF47" s="2" t="s">
        <v>14</v>
      </c>
      <c r="AG47" s="6" t="e">
        <f t="shared" ref="AG47:AM47" si="41">AG36/(AG23*8.76)</f>
        <v>#VALUE!</v>
      </c>
      <c r="AH47" t="e">
        <f t="shared" si="41"/>
        <v>#VALUE!</v>
      </c>
      <c r="AI47" s="6" t="e">
        <f t="shared" si="41"/>
        <v>#DIV/0!</v>
      </c>
      <c r="AJ47" s="6">
        <f t="shared" si="41"/>
        <v>0.73504599863694087</v>
      </c>
      <c r="AK47" s="6" t="e">
        <f t="shared" si="41"/>
        <v>#DIV/0!</v>
      </c>
      <c r="AL47" s="6">
        <f t="shared" si="41"/>
        <v>0.19478947281051656</v>
      </c>
      <c r="AM47" s="6">
        <f t="shared" si="41"/>
        <v>0.5468532003397879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1"/>
      <c r="AZ47" s="2" t="s">
        <v>14</v>
      </c>
      <c r="BA47" s="6" t="e">
        <f t="shared" ref="BA47:BG47" si="42">BA36/(BA23*8.76)</f>
        <v>#VALUE!</v>
      </c>
      <c r="BB47" t="e">
        <f t="shared" si="42"/>
        <v>#VALUE!</v>
      </c>
      <c r="BC47" s="6" t="e">
        <f t="shared" si="42"/>
        <v>#DIV/0!</v>
      </c>
      <c r="BD47" s="6">
        <f t="shared" si="42"/>
        <v>0.62423408556716342</v>
      </c>
      <c r="BE47" s="6" t="e">
        <f t="shared" si="42"/>
        <v>#DIV/0!</v>
      </c>
      <c r="BF47" s="6">
        <f t="shared" si="42"/>
        <v>0.12532581605579304</v>
      </c>
      <c r="BG47" s="6">
        <f t="shared" si="42"/>
        <v>0.35162690613343128</v>
      </c>
      <c r="BH47" s="6"/>
      <c r="BI47" s="6"/>
      <c r="BJ47" s="6"/>
      <c r="BK47" s="6"/>
      <c r="BL47" s="6"/>
      <c r="BM47" s="6"/>
    </row>
    <row r="48" spans="1:70">
      <c r="A48" s="1"/>
      <c r="B48" s="2" t="s">
        <v>15</v>
      </c>
      <c r="C48" s="6" t="e">
        <f t="shared" ref="C48:I48" si="43">C37/(C24*8.76)</f>
        <v>#VALUE!</v>
      </c>
      <c r="D48" t="e">
        <f t="shared" si="43"/>
        <v>#VALUE!</v>
      </c>
      <c r="E48" s="6" t="e">
        <f t="shared" si="43"/>
        <v>#DIV/0!</v>
      </c>
      <c r="F48" s="6">
        <f t="shared" si="43"/>
        <v>0.60514781731624423</v>
      </c>
      <c r="G48" s="6" t="e">
        <f t="shared" si="43"/>
        <v>#VALUE!</v>
      </c>
      <c r="H48" s="6">
        <f t="shared" si="43"/>
        <v>7.6026788083631294E-2</v>
      </c>
      <c r="I48" s="6">
        <f t="shared" si="43"/>
        <v>0.2254307562915773</v>
      </c>
      <c r="J48" s="6"/>
      <c r="K48" s="6"/>
      <c r="L48" s="6"/>
      <c r="M48" s="6"/>
      <c r="N48" s="6"/>
      <c r="O48" s="6"/>
      <c r="P48" s="1"/>
      <c r="Q48" s="2" t="s">
        <v>15</v>
      </c>
      <c r="R48" s="6" t="e">
        <f t="shared" ref="R48:X48" si="44">R37/(R24*8.76)</f>
        <v>#VALUE!</v>
      </c>
      <c r="S48" t="e">
        <f t="shared" si="44"/>
        <v>#VALUE!</v>
      </c>
      <c r="T48" s="6" t="e">
        <f t="shared" si="44"/>
        <v>#DIV/0!</v>
      </c>
      <c r="U48" s="6">
        <f t="shared" si="44"/>
        <v>5.6059071537290714E-2</v>
      </c>
      <c r="V48" s="6" t="e">
        <f t="shared" si="44"/>
        <v>#VALUE!</v>
      </c>
      <c r="W48" s="6">
        <f t="shared" si="44"/>
        <v>0.11081561031271916</v>
      </c>
      <c r="X48" s="6">
        <f t="shared" si="44"/>
        <v>0.39077314978190814</v>
      </c>
      <c r="Y48" s="6"/>
      <c r="Z48" s="6"/>
      <c r="AA48" s="6"/>
      <c r="AB48" s="6"/>
      <c r="AC48" s="6"/>
      <c r="AD48" s="6"/>
      <c r="AE48" s="1"/>
      <c r="AF48" s="2" t="s">
        <v>15</v>
      </c>
      <c r="AG48" s="6" t="e">
        <f t="shared" ref="AG48:AM48" si="45">AG37/(AG24*8.76)</f>
        <v>#VALUE!</v>
      </c>
      <c r="AH48" t="e">
        <f t="shared" si="45"/>
        <v>#VALUE!</v>
      </c>
      <c r="AI48" s="6" t="e">
        <f t="shared" si="45"/>
        <v>#DIV/0!</v>
      </c>
      <c r="AJ48" s="6">
        <f t="shared" si="45"/>
        <v>0.70808837724405271</v>
      </c>
      <c r="AK48" s="6" t="e">
        <f t="shared" si="45"/>
        <v>#VALUE!</v>
      </c>
      <c r="AL48" s="6">
        <f t="shared" si="45"/>
        <v>0.20028316293089346</v>
      </c>
      <c r="AM48" s="6">
        <f t="shared" si="45"/>
        <v>0.56418907192837664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1"/>
      <c r="AZ48" s="2" t="s">
        <v>15</v>
      </c>
      <c r="BA48" s="6" t="e">
        <f t="shared" ref="BA48:BG48" si="46">BA37/(BA24*8.76)</f>
        <v>#VALUE!</v>
      </c>
      <c r="BB48" t="e">
        <f t="shared" si="46"/>
        <v>#VALUE!</v>
      </c>
      <c r="BC48" s="6" t="e">
        <f t="shared" si="46"/>
        <v>#DIV/0!</v>
      </c>
      <c r="BD48" s="6">
        <f t="shared" si="46"/>
        <v>0.6071571490379305</v>
      </c>
      <c r="BE48" s="6" t="e">
        <f t="shared" si="46"/>
        <v>#VALUE!</v>
      </c>
      <c r="BF48" s="6">
        <f t="shared" si="46"/>
        <v>0.11823516368069141</v>
      </c>
      <c r="BG48" s="6">
        <f t="shared" si="46"/>
        <v>0.40975434992914578</v>
      </c>
      <c r="BH48" s="6"/>
      <c r="BI48" s="6"/>
      <c r="BJ48" s="6"/>
      <c r="BK48" s="6"/>
      <c r="BL48" s="6"/>
      <c r="BM48" s="6"/>
    </row>
    <row r="49" spans="1:65">
      <c r="A49" s="1"/>
      <c r="B49" s="2" t="s">
        <v>16</v>
      </c>
      <c r="C49" s="6" t="e">
        <f t="shared" ref="C49:I49" si="47">C38/(C25*8.76)</f>
        <v>#VALUE!</v>
      </c>
      <c r="D49" t="e">
        <f t="shared" si="47"/>
        <v>#VALUE!</v>
      </c>
      <c r="E49" s="6" t="e">
        <f t="shared" si="47"/>
        <v>#DIV/0!</v>
      </c>
      <c r="F49" s="6">
        <f t="shared" si="47"/>
        <v>0.61091659056316583</v>
      </c>
      <c r="G49" s="6" t="e">
        <f t="shared" si="47"/>
        <v>#VALUE!</v>
      </c>
      <c r="H49" s="6">
        <f t="shared" si="47"/>
        <v>0.12130179100862028</v>
      </c>
      <c r="I49" s="6">
        <f t="shared" si="47"/>
        <v>0.4230081193268716</v>
      </c>
      <c r="J49" s="6"/>
      <c r="K49" s="6"/>
      <c r="L49" s="6"/>
      <c r="M49" s="6"/>
      <c r="N49" s="6"/>
      <c r="O49" s="6"/>
      <c r="P49" s="1"/>
      <c r="Q49" s="2" t="s">
        <v>16</v>
      </c>
      <c r="R49" s="6" t="e">
        <f t="shared" ref="R49:X49" si="48">R38/(R25*8.76)</f>
        <v>#VALUE!</v>
      </c>
      <c r="S49" t="e">
        <f t="shared" si="48"/>
        <v>#VALUE!</v>
      </c>
      <c r="T49" s="6" t="e">
        <f t="shared" si="48"/>
        <v>#DIV/0!</v>
      </c>
      <c r="U49" s="6">
        <f t="shared" si="48"/>
        <v>0.19647092846270925</v>
      </c>
      <c r="V49" s="6" t="e">
        <f t="shared" si="48"/>
        <v>#VALUE!</v>
      </c>
      <c r="W49" s="6">
        <f t="shared" si="48"/>
        <v>0.19383694883734598</v>
      </c>
      <c r="X49" s="6">
        <f t="shared" si="48"/>
        <v>0.48369544137308401</v>
      </c>
      <c r="Y49" s="6"/>
      <c r="Z49" s="6"/>
      <c r="AA49" s="6"/>
      <c r="AB49" s="6"/>
      <c r="AC49" s="6"/>
      <c r="AD49" s="6"/>
      <c r="AE49" s="1"/>
      <c r="AF49" s="2" t="s">
        <v>16</v>
      </c>
      <c r="AG49" s="6" t="e">
        <f t="shared" ref="AG49:AM49" si="49">AG38/(AG25*8.76)</f>
        <v>#VALUE!</v>
      </c>
      <c r="AH49" t="e">
        <f t="shared" si="49"/>
        <v>#VALUE!</v>
      </c>
      <c r="AI49" s="6" t="e">
        <f t="shared" si="49"/>
        <v>#DIV/0!</v>
      </c>
      <c r="AJ49" s="6">
        <f t="shared" si="49"/>
        <v>0.72860807764501778</v>
      </c>
      <c r="AK49" s="6" t="e">
        <f t="shared" si="49"/>
        <v>#VALUE!</v>
      </c>
      <c r="AL49" s="6">
        <f t="shared" si="49"/>
        <v>0.20150770703959905</v>
      </c>
      <c r="AM49" s="6">
        <f t="shared" si="49"/>
        <v>0.50630289098743742</v>
      </c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1"/>
      <c r="AZ49" s="2" t="s">
        <v>16</v>
      </c>
      <c r="BA49" s="6" t="e">
        <f t="shared" ref="BA49:BG49" si="50">BA38/(BA25*8.76)</f>
        <v>#VALUE!</v>
      </c>
      <c r="BB49" t="e">
        <f t="shared" si="50"/>
        <v>#VALUE!</v>
      </c>
      <c r="BC49" s="6" t="e">
        <f t="shared" si="50"/>
        <v>#DIV/0!</v>
      </c>
      <c r="BD49" s="6">
        <f t="shared" si="50"/>
        <v>0.61091659056316583</v>
      </c>
      <c r="BE49" s="6" t="e">
        <f t="shared" si="50"/>
        <v>#VALUE!</v>
      </c>
      <c r="BF49" s="6">
        <f t="shared" si="50"/>
        <v>0.12606852812658803</v>
      </c>
      <c r="BG49" s="6">
        <f t="shared" si="50"/>
        <v>0.39608367723109417</v>
      </c>
      <c r="BH49" s="6"/>
      <c r="BI49" s="6"/>
      <c r="BJ49" s="6"/>
      <c r="BK49" s="6"/>
      <c r="BL49" s="6"/>
      <c r="BM49" s="6"/>
    </row>
    <row r="50" spans="1:65">
      <c r="A50" s="1"/>
      <c r="B50" s="2" t="s">
        <v>17</v>
      </c>
      <c r="C50" s="6">
        <f t="shared" ref="C50:I50" si="51">C39/(C26*8.76)</f>
        <v>1.705021176626299E-2</v>
      </c>
      <c r="D50" t="e">
        <f t="shared" si="51"/>
        <v>#VALUE!</v>
      </c>
      <c r="E50" s="6" t="e">
        <f t="shared" si="51"/>
        <v>#DIV/0!</v>
      </c>
      <c r="F50" s="6">
        <f t="shared" si="51"/>
        <v>0.61709984402340556</v>
      </c>
      <c r="G50" s="6" t="e">
        <f t="shared" si="51"/>
        <v>#VALUE!</v>
      </c>
      <c r="H50" s="6">
        <f t="shared" si="51"/>
        <v>9.6703003668483528E-2</v>
      </c>
      <c r="I50" s="6">
        <f t="shared" si="51"/>
        <v>0.28816806421232877</v>
      </c>
      <c r="J50" s="6"/>
      <c r="K50" s="6"/>
      <c r="L50" s="6"/>
      <c r="M50" s="6"/>
      <c r="N50" s="6"/>
      <c r="O50" s="6"/>
      <c r="P50" s="1"/>
      <c r="Q50" s="2" t="s">
        <v>17</v>
      </c>
      <c r="R50" s="6">
        <f t="shared" ref="R50:X50" si="52">R39/(R26*8.76)</f>
        <v>2.6892211523614144E-2</v>
      </c>
      <c r="S50" t="e">
        <f t="shared" si="52"/>
        <v>#VALUE!</v>
      </c>
      <c r="T50" s="6" t="e">
        <f t="shared" si="52"/>
        <v>#DIV/0!</v>
      </c>
      <c r="U50" s="6">
        <f t="shared" si="52"/>
        <v>9.3433123920067432E-2</v>
      </c>
      <c r="V50" s="6" t="e">
        <f t="shared" si="52"/>
        <v>#VALUE!</v>
      </c>
      <c r="W50" s="6">
        <f t="shared" si="52"/>
        <v>0.12223312735610536</v>
      </c>
      <c r="X50" s="6">
        <f t="shared" si="52"/>
        <v>0.42853792665441615</v>
      </c>
      <c r="Y50" s="6"/>
      <c r="Z50" s="6"/>
      <c r="AA50" s="6"/>
      <c r="AB50" s="6"/>
      <c r="AC50" s="6"/>
      <c r="AD50" s="6"/>
      <c r="AE50" s="1"/>
      <c r="AF50" s="2" t="s">
        <v>17</v>
      </c>
      <c r="AG50" s="6">
        <f t="shared" ref="AG50:AM50" si="53">AG39/(AG26*8.76)</f>
        <v>6.3828838814991296E-2</v>
      </c>
      <c r="AH50" t="e">
        <f t="shared" si="53"/>
        <v>#VALUE!</v>
      </c>
      <c r="AI50" s="6" t="e">
        <f t="shared" si="53"/>
        <v>#DIV/0!</v>
      </c>
      <c r="AJ50" s="6">
        <f t="shared" si="53"/>
        <v>0.79049365561097928</v>
      </c>
      <c r="AK50" s="6" t="e">
        <f t="shared" si="53"/>
        <v>#VALUE!</v>
      </c>
      <c r="AL50" s="6">
        <f t="shared" si="53"/>
        <v>0.20173707846084038</v>
      </c>
      <c r="AM50" s="6">
        <f t="shared" si="53"/>
        <v>0.56102922635555952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1"/>
      <c r="AZ50" s="2" t="s">
        <v>17</v>
      </c>
      <c r="BA50" s="6">
        <f t="shared" ref="BA50:BG50" si="54">BA39/(BA26*8.76)</f>
        <v>2.0226272803476497E-2</v>
      </c>
      <c r="BB50" t="e">
        <f t="shared" si="54"/>
        <v>#VALUE!</v>
      </c>
      <c r="BC50" s="6" t="e">
        <f t="shared" si="54"/>
        <v>#DIV/0!</v>
      </c>
      <c r="BD50" s="6">
        <f t="shared" si="54"/>
        <v>0.62464960527781654</v>
      </c>
      <c r="BE50" s="6" t="e">
        <f t="shared" si="54"/>
        <v>#VALUE!</v>
      </c>
      <c r="BF50" s="6">
        <f t="shared" si="54"/>
        <v>0.12052784509565588</v>
      </c>
      <c r="BG50" s="6">
        <f t="shared" si="54"/>
        <v>0.3985026486230176</v>
      </c>
      <c r="BH50" s="6"/>
      <c r="BI50" s="6"/>
      <c r="BJ50" s="6"/>
      <c r="BK50" s="6"/>
      <c r="BL50" s="6"/>
      <c r="BM50" s="6"/>
    </row>
    <row r="51" spans="1:65">
      <c r="A51" s="1"/>
      <c r="B51" s="2" t="s">
        <v>18</v>
      </c>
      <c r="C51" t="e">
        <f t="shared" ref="C51:I51" si="55">C40/(C27*8.76)</f>
        <v>#VALUE!</v>
      </c>
      <c r="D51" t="e">
        <f t="shared" si="55"/>
        <v>#VALUE!</v>
      </c>
      <c r="E51" s="6" t="e">
        <f t="shared" si="55"/>
        <v>#DIV/0!</v>
      </c>
      <c r="F51" s="6">
        <f t="shared" si="55"/>
        <v>0.62050363652232599</v>
      </c>
      <c r="G51" s="6" t="e">
        <f t="shared" si="55"/>
        <v>#VALUE!</v>
      </c>
      <c r="H51" s="6">
        <f t="shared" si="55"/>
        <v>0.15009667592806916</v>
      </c>
      <c r="I51" s="6">
        <f t="shared" si="55"/>
        <v>0.43757084479356201</v>
      </c>
      <c r="J51" s="6"/>
      <c r="K51" s="6"/>
      <c r="L51" s="6"/>
      <c r="M51" s="6"/>
      <c r="N51" s="6"/>
      <c r="O51" s="6"/>
      <c r="P51" s="1"/>
      <c r="Q51" s="2" t="s">
        <v>18</v>
      </c>
      <c r="R51" t="e">
        <f t="shared" ref="R51:X51" si="56">R40/(R27*8.76)</f>
        <v>#VALUE!</v>
      </c>
      <c r="S51" t="e">
        <f t="shared" si="56"/>
        <v>#VALUE!</v>
      </c>
      <c r="T51" s="6" t="e">
        <f t="shared" si="56"/>
        <v>#DIV/0!</v>
      </c>
      <c r="U51" s="6">
        <f t="shared" si="56"/>
        <v>0.12125082815341712</v>
      </c>
      <c r="V51" s="6" t="e">
        <f t="shared" si="56"/>
        <v>#VALUE!</v>
      </c>
      <c r="W51" s="6">
        <f t="shared" si="56"/>
        <v>0.17940487709647379</v>
      </c>
      <c r="X51" s="6">
        <f t="shared" si="56"/>
        <v>0.44732502764484494</v>
      </c>
      <c r="Y51" s="6"/>
      <c r="Z51" s="6"/>
      <c r="AA51" s="6"/>
      <c r="AB51" s="6"/>
      <c r="AC51" s="6"/>
      <c r="AD51" s="6"/>
      <c r="AE51" s="1"/>
      <c r="AF51" s="2" t="s">
        <v>18</v>
      </c>
      <c r="AG51" t="e">
        <f t="shared" ref="AG51:AM51" si="57">AG40/(AG27*8.76)</f>
        <v>#VALUE!</v>
      </c>
      <c r="AH51" t="e">
        <f t="shared" si="57"/>
        <v>#VALUE!</v>
      </c>
      <c r="AI51" s="6" t="e">
        <f t="shared" si="57"/>
        <v>#DIV/0!</v>
      </c>
      <c r="AJ51" s="6">
        <f t="shared" si="57"/>
        <v>0.70408818493150682</v>
      </c>
      <c r="AK51" s="6" t="e">
        <f t="shared" si="57"/>
        <v>#VALUE!</v>
      </c>
      <c r="AL51" s="6">
        <f t="shared" si="57"/>
        <v>0.20021646351630712</v>
      </c>
      <c r="AM51" s="6">
        <f t="shared" si="57"/>
        <v>0.490201899128269</v>
      </c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"/>
      <c r="AZ51" s="2" t="s">
        <v>18</v>
      </c>
      <c r="BA51" t="e">
        <f t="shared" ref="BA51:BG51" si="58">BA40/(BA27*8.76)</f>
        <v>#VALUE!</v>
      </c>
      <c r="BB51" t="e">
        <f t="shared" si="58"/>
        <v>#VALUE!</v>
      </c>
      <c r="BC51" s="6" t="e">
        <f t="shared" si="58"/>
        <v>#DIV/0!</v>
      </c>
      <c r="BD51" s="6">
        <f t="shared" si="58"/>
        <v>0.62050363652232599</v>
      </c>
      <c r="BE51" s="6" t="e">
        <f t="shared" si="58"/>
        <v>#VALUE!</v>
      </c>
      <c r="BF51" s="6">
        <f t="shared" si="58"/>
        <v>0.15053333322367968</v>
      </c>
      <c r="BG51" s="6">
        <f t="shared" si="58"/>
        <v>0.43355606441438754</v>
      </c>
      <c r="BH51" s="6"/>
      <c r="BI51" s="6"/>
      <c r="BJ51" s="6"/>
      <c r="BK51" s="6"/>
      <c r="BL51" s="6"/>
      <c r="BM51" s="6"/>
    </row>
    <row r="52" spans="1:65">
      <c r="A52" s="1"/>
      <c r="B52" s="2" t="s">
        <v>19</v>
      </c>
      <c r="C52" t="e">
        <f t="shared" ref="C52:I52" si="59">C41/(C28*8.76)</f>
        <v>#VALUE!</v>
      </c>
      <c r="D52" t="e">
        <f t="shared" si="59"/>
        <v>#VALUE!</v>
      </c>
      <c r="E52" s="6" t="e">
        <f t="shared" si="59"/>
        <v>#DIV/0!</v>
      </c>
      <c r="F52" s="6" t="e">
        <f t="shared" si="59"/>
        <v>#DIV/0!</v>
      </c>
      <c r="G52" s="6">
        <f t="shared" si="59"/>
        <v>5.6831449771689496E-2</v>
      </c>
      <c r="H52" s="6">
        <f t="shared" si="59"/>
        <v>0.10437957905038694</v>
      </c>
      <c r="I52" s="6">
        <f t="shared" si="59"/>
        <v>0.33583100570208035</v>
      </c>
      <c r="J52" s="6"/>
      <c r="K52" s="6"/>
      <c r="L52" s="6"/>
      <c r="M52" s="6"/>
      <c r="N52" s="6"/>
      <c r="O52" s="6"/>
      <c r="P52" s="1"/>
      <c r="Q52" s="2" t="s">
        <v>19</v>
      </c>
      <c r="R52" t="e">
        <f t="shared" ref="R52:X52" si="60">R41/(R28*8.76)</f>
        <v>#VALUE!</v>
      </c>
      <c r="S52" t="e">
        <f t="shared" si="60"/>
        <v>#VALUE!</v>
      </c>
      <c r="T52" s="6" t="e">
        <f t="shared" si="60"/>
        <v>#DIV/0!</v>
      </c>
      <c r="U52" s="6">
        <f t="shared" si="60"/>
        <v>1.0111685033269976E-2</v>
      </c>
      <c r="V52" s="6">
        <f t="shared" si="60"/>
        <v>6.5562970890410965E-2</v>
      </c>
      <c r="W52" s="6">
        <f t="shared" si="60"/>
        <v>0.12766170893901002</v>
      </c>
      <c r="X52" s="6">
        <f t="shared" si="60"/>
        <v>0.35060714537359094</v>
      </c>
      <c r="Y52" s="6"/>
      <c r="Z52" s="6"/>
      <c r="AA52" s="6"/>
      <c r="AB52" s="6"/>
      <c r="AC52" s="6"/>
      <c r="AD52" s="6"/>
      <c r="AE52" s="1"/>
      <c r="AF52" s="2" t="s">
        <v>19</v>
      </c>
      <c r="AG52" t="e">
        <f t="shared" ref="AG52:AM52" si="61">AG41/(AG28*8.76)</f>
        <v>#VALUE!</v>
      </c>
      <c r="AH52" t="e">
        <f t="shared" si="61"/>
        <v>#VALUE!</v>
      </c>
      <c r="AI52" s="6" t="e">
        <f t="shared" si="61"/>
        <v>#DIV/0!</v>
      </c>
      <c r="AJ52" s="6">
        <f t="shared" si="61"/>
        <v>0.60724440852803829</v>
      </c>
      <c r="AK52" s="6">
        <f t="shared" si="61"/>
        <v>0.42477818207762558</v>
      </c>
      <c r="AL52" s="6">
        <f t="shared" si="61"/>
        <v>0.19892044870298839</v>
      </c>
      <c r="AM52" s="6">
        <f t="shared" si="61"/>
        <v>0.54271120631308867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1"/>
      <c r="AZ52" s="2" t="s">
        <v>19</v>
      </c>
      <c r="BA52" t="e">
        <f t="shared" ref="BA52:BG52" si="62">BA41/(BA28*8.76)</f>
        <v>#VALUE!</v>
      </c>
      <c r="BB52" t="e">
        <f t="shared" si="62"/>
        <v>#VALUE!</v>
      </c>
      <c r="BC52" s="6" t="e">
        <f t="shared" si="62"/>
        <v>#DIV/0!</v>
      </c>
      <c r="BD52" s="6" t="e">
        <f t="shared" si="62"/>
        <v>#DIV/0!</v>
      </c>
      <c r="BE52" s="6">
        <f t="shared" si="62"/>
        <v>5.9690296803652967E-2</v>
      </c>
      <c r="BF52" s="6">
        <f t="shared" si="62"/>
        <v>0.120928901710512</v>
      </c>
      <c r="BG52" s="6">
        <f t="shared" si="62"/>
        <v>0.35628045656668417</v>
      </c>
      <c r="BH52" s="6"/>
      <c r="BI52" s="6"/>
      <c r="BJ52" s="6"/>
      <c r="BK52" s="6"/>
      <c r="BL52" s="6"/>
      <c r="BM52" s="6"/>
    </row>
    <row r="53" spans="1:65">
      <c r="A53" s="1"/>
      <c r="P53" s="1"/>
      <c r="AE53" s="1"/>
      <c r="AY53" s="1"/>
    </row>
    <row r="54" spans="1:65">
      <c r="A54" s="1"/>
      <c r="D54" t="s">
        <v>37</v>
      </c>
      <c r="E54">
        <f>SUM(C32:I41)</f>
        <v>6799.8106070000022</v>
      </c>
      <c r="F54" s="4" t="s">
        <v>38</v>
      </c>
      <c r="P54" s="1"/>
      <c r="S54" t="s">
        <v>37</v>
      </c>
      <c r="T54">
        <f>SUM(R32:X41)</f>
        <v>6799.8106120000002</v>
      </c>
      <c r="U54" s="4" t="s">
        <v>38</v>
      </c>
      <c r="AE54" s="1"/>
      <c r="AH54" t="s">
        <v>37</v>
      </c>
      <c r="AI54">
        <f>SUM(AG32:AM41)</f>
        <v>6799.8106110000008</v>
      </c>
      <c r="AJ54" s="4" t="s">
        <v>38</v>
      </c>
      <c r="AY54" s="1"/>
      <c r="BB54" t="s">
        <v>37</v>
      </c>
      <c r="BC54">
        <f>SUM(BA32:BG41)</f>
        <v>6799.8106100000005</v>
      </c>
      <c r="BD54" s="4" t="s">
        <v>38</v>
      </c>
    </row>
    <row r="55" spans="1:65">
      <c r="A55" s="1"/>
      <c r="D55" t="s">
        <v>39</v>
      </c>
      <c r="E55">
        <f>SUM(E32:E41)</f>
        <v>109.068657</v>
      </c>
      <c r="F55" s="4" t="s">
        <v>38</v>
      </c>
      <c r="P55" s="1"/>
      <c r="S55" t="s">
        <v>39</v>
      </c>
      <c r="T55">
        <f>SUM(T32:T41)</f>
        <v>109.023517</v>
      </c>
      <c r="U55" s="4" t="s">
        <v>38</v>
      </c>
      <c r="AE55" s="1"/>
      <c r="AH55" t="s">
        <v>39</v>
      </c>
      <c r="AI55">
        <f>SUM(AI32:AI41)</f>
        <v>230.74696399999999</v>
      </c>
      <c r="AJ55" s="4" t="s">
        <v>38</v>
      </c>
      <c r="AY55" s="1"/>
      <c r="BB55" t="s">
        <v>39</v>
      </c>
      <c r="BC55">
        <f>SUM(BC32:BC41)</f>
        <v>109.023517</v>
      </c>
      <c r="BD55" s="4" t="s">
        <v>38</v>
      </c>
    </row>
    <row r="56" spans="1:65">
      <c r="A56" s="1"/>
      <c r="D56" t="s">
        <v>40</v>
      </c>
      <c r="E56">
        <f>E55/E54</f>
        <v>1.6039955125767807E-2</v>
      </c>
      <c r="P56" s="1"/>
      <c r="S56" t="s">
        <v>40</v>
      </c>
      <c r="T56">
        <f>T55/T54</f>
        <v>1.6033316693791471E-2</v>
      </c>
      <c r="AE56" s="1"/>
      <c r="AH56" t="s">
        <v>40</v>
      </c>
      <c r="AI56">
        <f>AI55/AI54</f>
        <v>3.3934322174609163E-2</v>
      </c>
      <c r="AY56" s="1"/>
      <c r="BB56" t="s">
        <v>40</v>
      </c>
      <c r="BC56">
        <f>BC55/BC54</f>
        <v>1.6033316698507282E-2</v>
      </c>
    </row>
    <row r="57" spans="1:65">
      <c r="A57" s="1"/>
      <c r="D57" t="s">
        <v>41</v>
      </c>
      <c r="E57">
        <v>0.66</v>
      </c>
      <c r="F57" t="s">
        <v>42</v>
      </c>
      <c r="P57" s="1"/>
      <c r="S57" t="s">
        <v>41</v>
      </c>
      <c r="T57">
        <v>0.66</v>
      </c>
      <c r="U57" t="s">
        <v>42</v>
      </c>
      <c r="AE57" s="1"/>
      <c r="AH57" t="s">
        <v>41</v>
      </c>
      <c r="AI57">
        <v>0.66</v>
      </c>
      <c r="AJ57" t="s">
        <v>42</v>
      </c>
      <c r="AY57" s="1"/>
      <c r="BB57" t="s">
        <v>41</v>
      </c>
      <c r="BC57">
        <v>0.66</v>
      </c>
      <c r="BD57" t="s">
        <v>42</v>
      </c>
    </row>
    <row r="58" spans="1:65">
      <c r="A58" s="1"/>
      <c r="D58" t="s">
        <v>43</v>
      </c>
      <c r="E58" s="7">
        <f>E55*E57</f>
        <v>71.985313619999999</v>
      </c>
      <c r="F58" t="s">
        <v>44</v>
      </c>
      <c r="P58" s="1"/>
      <c r="S58" t="s">
        <v>43</v>
      </c>
      <c r="T58" s="7">
        <f>T55*T57</f>
        <v>71.955521220000008</v>
      </c>
      <c r="U58" t="s">
        <v>44</v>
      </c>
      <c r="AE58" s="1"/>
      <c r="AH58" t="s">
        <v>43</v>
      </c>
      <c r="AI58" s="7">
        <f>AI55*AI57</f>
        <v>152.29299624000001</v>
      </c>
      <c r="AJ58" t="s">
        <v>44</v>
      </c>
      <c r="AY58" s="1"/>
      <c r="BB58" t="s">
        <v>43</v>
      </c>
      <c r="BC58" s="7">
        <f>BC55*BC57</f>
        <v>71.955521220000008</v>
      </c>
      <c r="BD58" t="s">
        <v>44</v>
      </c>
    </row>
    <row r="59" spans="1:65">
      <c r="A59" s="1"/>
      <c r="D59" t="s">
        <v>45</v>
      </c>
      <c r="E59" s="5">
        <f>E58/E54</f>
        <v>1.0586370383006754E-2</v>
      </c>
      <c r="F59" t="s">
        <v>46</v>
      </c>
      <c r="P59" s="1"/>
      <c r="S59" t="s">
        <v>45</v>
      </c>
      <c r="T59" s="5">
        <f>T58/T54</f>
        <v>1.0581989017902372E-2</v>
      </c>
      <c r="U59" t="s">
        <v>46</v>
      </c>
      <c r="AE59" s="1"/>
      <c r="AH59" t="s">
        <v>45</v>
      </c>
      <c r="AI59" s="5">
        <f>AI58/AI54</f>
        <v>2.2396652635242049E-2</v>
      </c>
      <c r="AJ59" t="s">
        <v>46</v>
      </c>
      <c r="AY59" s="1"/>
      <c r="BB59" t="s">
        <v>45</v>
      </c>
      <c r="BC59" s="5">
        <f>BC58/BC54</f>
        <v>1.0581989021014808E-2</v>
      </c>
      <c r="BD59" t="s">
        <v>46</v>
      </c>
    </row>
    <row r="60" spans="1:65">
      <c r="A60" s="1"/>
      <c r="P60" s="1"/>
      <c r="AE60" s="1"/>
      <c r="AY60" s="1"/>
    </row>
    <row r="61" spans="1:65">
      <c r="E61">
        <f>(E58-'0. Current system'!$E$58)/'0. Current system'!$E$58</f>
        <v>-0.97984300336083519</v>
      </c>
      <c r="T61">
        <f>(T58-'0. Current system'!$E$58)/'0. Current system'!$E$58</f>
        <v>-0.97985134569174237</v>
      </c>
      <c r="AI61">
        <f>(AI58-'0. Current system'!$E$58)/'0. Current system'!$E$58</f>
        <v>-0.9573556152080841</v>
      </c>
      <c r="BC61">
        <f>(BC58-'0. Current system'!$E$58)/'0. Current system'!$E$58</f>
        <v>-0.97985134569174237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4D37-1CFF-4923-BD27-184FB49C4202}">
  <sheetPr>
    <tabColor rgb="FF92D050"/>
  </sheetPr>
  <dimension ref="A1:CR59"/>
  <sheetViews>
    <sheetView zoomScale="80" zoomScaleNormal="80" workbookViewId="0">
      <selection activeCell="N17" sqref="N17"/>
    </sheetView>
  </sheetViews>
  <sheetFormatPr defaultRowHeight="14.75"/>
  <cols>
    <col min="2" max="2" width="10.58984375" customWidth="1"/>
    <col min="6" max="6" width="10.453125" customWidth="1"/>
    <col min="12" max="12" width="9.7265625" customWidth="1"/>
    <col min="13" max="13" width="10.58984375" customWidth="1"/>
    <col min="15" max="15" width="10.2265625" customWidth="1"/>
    <col min="17" max="17" width="13" customWidth="1"/>
    <col min="25" max="25" width="11.76953125" customWidth="1"/>
    <col min="31" max="31" width="10.2265625" customWidth="1"/>
    <col min="32" max="32" width="9.90625" customWidth="1"/>
    <col min="40" max="40" width="10.5" customWidth="1"/>
    <col min="44" max="44" width="11.1796875" customWidth="1"/>
    <col min="50" max="50" width="9.81640625" customWidth="1"/>
    <col min="51" max="51" width="10.04296875" customWidth="1"/>
    <col min="78" max="78" width="10.90625" customWidth="1"/>
  </cols>
  <sheetData>
    <row r="1" spans="1:96">
      <c r="A1" s="1"/>
      <c r="B1" s="1" t="s">
        <v>122</v>
      </c>
      <c r="C1" s="1"/>
      <c r="D1" s="1"/>
      <c r="E1" s="1"/>
      <c r="F1" s="34" t="s">
        <v>127</v>
      </c>
      <c r="G1" s="1"/>
      <c r="H1" s="1"/>
      <c r="I1" s="1"/>
      <c r="J1" s="1" t="s">
        <v>203</v>
      </c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137</v>
      </c>
      <c r="V1" s="1"/>
      <c r="W1" s="1"/>
      <c r="X1" s="1"/>
      <c r="Y1" s="34"/>
      <c r="Z1" s="1"/>
      <c r="AA1" s="1" t="s">
        <v>206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 t="s">
        <v>130</v>
      </c>
      <c r="AO1" s="1"/>
      <c r="AP1" s="1"/>
      <c r="AQ1" s="1"/>
      <c r="AR1" s="34"/>
      <c r="AS1" s="1" t="s">
        <v>208</v>
      </c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 t="s">
        <v>169</v>
      </c>
      <c r="BH1" s="1"/>
      <c r="BI1" s="1"/>
      <c r="BJ1" s="1"/>
      <c r="BK1" s="34"/>
      <c r="BL1" s="1"/>
      <c r="BM1" s="1"/>
      <c r="BN1" s="1"/>
      <c r="BO1" s="1" t="s">
        <v>170</v>
      </c>
      <c r="BP1" s="1"/>
      <c r="BQ1" s="1"/>
      <c r="BR1" s="1"/>
      <c r="BS1" s="1"/>
      <c r="BT1" s="1"/>
      <c r="BU1" s="1"/>
      <c r="BV1" s="1"/>
      <c r="BW1" s="1"/>
      <c r="BX1" s="1"/>
      <c r="BY1" s="1"/>
      <c r="BZ1" s="1" t="s">
        <v>220</v>
      </c>
      <c r="CA1" s="1"/>
      <c r="CB1" s="1"/>
      <c r="CC1" s="1"/>
      <c r="CD1" s="34"/>
      <c r="CE1" s="1"/>
      <c r="CF1" s="1" t="s">
        <v>221</v>
      </c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</row>
    <row r="2" spans="1:96">
      <c r="A2" s="1"/>
      <c r="B2" s="13" t="s">
        <v>245</v>
      </c>
      <c r="C2">
        <v>3.1</v>
      </c>
      <c r="D2" t="s">
        <v>176</v>
      </c>
      <c r="H2" t="s">
        <v>104</v>
      </c>
      <c r="I2" t="s">
        <v>238</v>
      </c>
      <c r="J2" t="s">
        <v>128</v>
      </c>
      <c r="T2" s="1"/>
      <c r="U2" t="s">
        <v>202</v>
      </c>
      <c r="V2">
        <v>3.2</v>
      </c>
      <c r="W2" t="s">
        <v>173</v>
      </c>
      <c r="AA2" t="s">
        <v>104</v>
      </c>
      <c r="AB2" t="s">
        <v>123</v>
      </c>
      <c r="AC2" t="s">
        <v>128</v>
      </c>
      <c r="AM2" s="1"/>
      <c r="AN2" s="13" t="s">
        <v>207</v>
      </c>
      <c r="AO2">
        <v>3.3</v>
      </c>
      <c r="AP2" t="s">
        <v>174</v>
      </c>
      <c r="AT2" t="s">
        <v>104</v>
      </c>
      <c r="AU2" t="s">
        <v>123</v>
      </c>
      <c r="AV2" t="s">
        <v>128</v>
      </c>
      <c r="AW2" t="s">
        <v>124</v>
      </c>
      <c r="BF2" s="1"/>
      <c r="BG2" s="13" t="s">
        <v>244</v>
      </c>
      <c r="BH2">
        <v>3.4</v>
      </c>
      <c r="BI2" t="s">
        <v>175</v>
      </c>
      <c r="BM2" t="s">
        <v>104</v>
      </c>
      <c r="BN2" t="s">
        <v>123</v>
      </c>
      <c r="BO2" t="s">
        <v>128</v>
      </c>
      <c r="BP2" t="s">
        <v>124</v>
      </c>
      <c r="BY2" s="1"/>
      <c r="BZ2" t="s">
        <v>219</v>
      </c>
      <c r="CB2" t="s">
        <v>173</v>
      </c>
      <c r="CF2" t="s">
        <v>104</v>
      </c>
      <c r="CG2" t="s">
        <v>123</v>
      </c>
      <c r="CH2" t="s">
        <v>128</v>
      </c>
      <c r="CI2" t="s">
        <v>124</v>
      </c>
      <c r="CR2" s="1"/>
    </row>
    <row r="3" spans="1:96">
      <c r="A3" s="1"/>
      <c r="B3">
        <v>4</v>
      </c>
      <c r="C3" t="s">
        <v>33</v>
      </c>
      <c r="F3" t="s">
        <v>105</v>
      </c>
      <c r="G3">
        <v>104.8</v>
      </c>
      <c r="H3" s="20">
        <f>(G3-'0. Current system'!$G3)/'0. Current system'!$G3</f>
        <v>-0.4273224043715847</v>
      </c>
      <c r="I3" s="21">
        <f>(G3-'2. Diesel-battery-storage'!$G3)/'2. Diesel-battery-storage'!$G3</f>
        <v>0.13665943600867672</v>
      </c>
      <c r="J3" s="35">
        <f>(G3-'2''. Storage - some with diesel'!$AK3)/'2''. Storage - some with diesel'!$AK3</f>
        <v>-8.5146641438032696E-3</v>
      </c>
      <c r="K3" s="60" t="s">
        <v>246</v>
      </c>
      <c r="L3" s="7"/>
      <c r="M3" s="7"/>
      <c r="T3" s="1"/>
      <c r="U3">
        <v>6</v>
      </c>
      <c r="Y3" t="s">
        <v>105</v>
      </c>
      <c r="Z3">
        <v>102.5</v>
      </c>
      <c r="AA3" s="20">
        <f>(Z3-'0. Current system'!$G3)/'0. Current system'!$G3</f>
        <v>-0.43989071038251365</v>
      </c>
      <c r="AB3" s="21">
        <f>(Z3-'2. Diesel-battery-storage'!$BE3)/'2. Diesel-battery-storage'!$BE3</f>
        <v>0.13762486126526088</v>
      </c>
      <c r="AC3" s="35">
        <f>(Z3-'2''. Storage - some with diesel'!$AK3)/'2''. Storage - some with diesel'!$AK3</f>
        <v>-3.0274361400189242E-2</v>
      </c>
      <c r="AF3" s="7">
        <f>AE3/'2. Diesel-battery-storage'!$L30</f>
        <v>0</v>
      </c>
      <c r="AM3" s="1"/>
      <c r="AN3">
        <v>8</v>
      </c>
      <c r="AO3" t="s">
        <v>33</v>
      </c>
      <c r="AR3" t="s">
        <v>105</v>
      </c>
      <c r="AS3">
        <v>103.2</v>
      </c>
      <c r="AT3" s="20">
        <f>(AS3-'0. Current system'!$G3)/'0. Current system'!$G3</f>
        <v>-0.43606557377049177</v>
      </c>
      <c r="AU3" s="21">
        <f>(AS3-'2. Diesel-battery-storage'!$G3)/'2. Diesel-battery-storage'!$G3</f>
        <v>0.11930585683297179</v>
      </c>
      <c r="AV3" s="35">
        <f>(AS3-'2''. Storage - some with diesel'!$AK3)/'2''. Storage - some with diesel'!$AK3</f>
        <v>-2.3651844843897825E-2</v>
      </c>
      <c r="AW3" s="33">
        <f>(AS3-$G3)/$G3</f>
        <v>-1.526717557251903E-2</v>
      </c>
      <c r="BF3" s="1"/>
      <c r="BG3">
        <v>4</v>
      </c>
      <c r="BH3" t="s">
        <v>33</v>
      </c>
      <c r="BI3" t="s">
        <v>212</v>
      </c>
      <c r="BK3" t="s">
        <v>105</v>
      </c>
      <c r="BL3">
        <v>125.7</v>
      </c>
      <c r="BM3" s="20">
        <f>(BL3-'0. Current system'!$G3)/'0. Current system'!$G3</f>
        <v>-0.31311475409836065</v>
      </c>
      <c r="BN3" s="21">
        <f>(BL3-'2. Diesel-battery-storage'!$G3)/'2. Diesel-battery-storage'!$G3</f>
        <v>0.3633405639913232</v>
      </c>
      <c r="BO3" s="35">
        <f>(BL3-'2''. Storage - some with diesel'!$AK3)/'2''. Storage - some with diesel'!$AK3</f>
        <v>0.1892147587511826</v>
      </c>
      <c r="BP3" s="33">
        <f>(BL3-$G3)/$G3</f>
        <v>0.1994274809160306</v>
      </c>
      <c r="BY3" s="1"/>
      <c r="BZ3">
        <v>6</v>
      </c>
      <c r="CD3" t="s">
        <v>105</v>
      </c>
      <c r="CE3">
        <v>90.7</v>
      </c>
      <c r="CF3" s="20">
        <f>(CE3-'0. Current system'!$G3)/'0. Current system'!$G3</f>
        <v>-0.50437158469945353</v>
      </c>
      <c r="CG3" s="21">
        <f>(CE3-'2. Diesel-battery-storage'!$G3)/'2. Diesel-battery-storage'!$G3</f>
        <v>-1.6268980477223426E-2</v>
      </c>
      <c r="CH3" s="35">
        <f>(CE3-'2''. Storage - some with diesel'!$AK3)/'2''. Storage - some with diesel'!$AK3</f>
        <v>-0.14191106906338694</v>
      </c>
      <c r="CI3" s="33">
        <f>(CE3-$G3)/$G3</f>
        <v>-0.13454198473282439</v>
      </c>
      <c r="CR3" s="1"/>
    </row>
    <row r="4" spans="1:96">
      <c r="A4" s="1"/>
      <c r="B4" s="4" t="s">
        <v>21</v>
      </c>
      <c r="C4" t="s">
        <v>32</v>
      </c>
      <c r="D4" t="s">
        <v>34</v>
      </c>
      <c r="F4" s="4" t="s">
        <v>8</v>
      </c>
      <c r="I4" s="2"/>
      <c r="K4" s="10"/>
      <c r="R4" t="s">
        <v>32</v>
      </c>
      <c r="T4" s="1"/>
      <c r="U4" s="4" t="s">
        <v>21</v>
      </c>
      <c r="V4" t="s">
        <v>32</v>
      </c>
      <c r="W4" t="s">
        <v>34</v>
      </c>
      <c r="Y4" s="4" t="s">
        <v>8</v>
      </c>
      <c r="AB4" s="2"/>
      <c r="AM4" s="1"/>
      <c r="AN4" s="4" t="s">
        <v>21</v>
      </c>
      <c r="AO4" t="s">
        <v>32</v>
      </c>
      <c r="AP4" t="s">
        <v>34</v>
      </c>
      <c r="AR4" s="4" t="s">
        <v>8</v>
      </c>
      <c r="AU4" s="2"/>
      <c r="AW4" s="2"/>
      <c r="BD4" t="s">
        <v>32</v>
      </c>
      <c r="BF4" s="1"/>
      <c r="BG4" s="4" t="s">
        <v>21</v>
      </c>
      <c r="BH4" t="s">
        <v>32</v>
      </c>
      <c r="BI4" t="s">
        <v>34</v>
      </c>
      <c r="BK4" s="4" t="s">
        <v>8</v>
      </c>
      <c r="BN4" s="2"/>
      <c r="BP4" s="2"/>
      <c r="BW4" t="s">
        <v>32</v>
      </c>
      <c r="BY4" s="1"/>
      <c r="BZ4" s="4" t="s">
        <v>21</v>
      </c>
      <c r="CA4" t="s">
        <v>32</v>
      </c>
      <c r="CB4" t="s">
        <v>34</v>
      </c>
      <c r="CD4" s="4" t="s">
        <v>8</v>
      </c>
      <c r="CG4" s="2"/>
      <c r="CI4" s="2"/>
      <c r="CR4" s="1"/>
    </row>
    <row r="5" spans="1:96">
      <c r="A5" s="1"/>
      <c r="B5" s="4" t="s">
        <v>23</v>
      </c>
      <c r="C5" s="9">
        <v>70</v>
      </c>
      <c r="D5" s="9">
        <f>C5*$B$3</f>
        <v>280</v>
      </c>
      <c r="F5" s="4" t="s">
        <v>9</v>
      </c>
      <c r="G5" s="7">
        <v>90.440062999999995</v>
      </c>
      <c r="H5" s="20">
        <f>(G5-'0. Current system'!$G5)/'0. Current system'!$G5</f>
        <v>-0.55254213209438852</v>
      </c>
      <c r="I5" s="21">
        <f>(G5-'2. Diesel-battery-storage'!$G5)/'2. Diesel-battery-storage'!$G5</f>
        <v>-0.1388274832028866</v>
      </c>
      <c r="K5" s="52"/>
      <c r="L5" s="7">
        <f t="shared" ref="L5:L14" si="0">G5*L32</f>
        <v>57067.869224931987</v>
      </c>
      <c r="M5" s="7">
        <f>L5/'2. Diesel-battery-storage'!$L32</f>
        <v>130.58529665165605</v>
      </c>
      <c r="Q5" s="4" t="s">
        <v>50</v>
      </c>
      <c r="R5" s="7">
        <v>82.741033999999999</v>
      </c>
      <c r="S5" s="7"/>
      <c r="T5" s="1"/>
      <c r="U5" s="4" t="s">
        <v>23</v>
      </c>
      <c r="V5">
        <v>70</v>
      </c>
      <c r="W5" s="9">
        <f t="shared" ref="W5:W14" si="1">V5*U$3</f>
        <v>420</v>
      </c>
      <c r="Y5" s="4" t="s">
        <v>9</v>
      </c>
      <c r="Z5" s="7">
        <v>92.461779000000007</v>
      </c>
      <c r="AA5" s="20">
        <f>(Z5-'0. Current system'!$G5)/'0. Current system'!$G5</f>
        <v>-0.5425395657442228</v>
      </c>
      <c r="AB5" s="21">
        <f>(Z5-'2. Diesel-battery-storage'!$BE5)/'2. Diesel-battery-storage'!$BE5</f>
        <v>-6.5845171130265001E-2</v>
      </c>
      <c r="AE5" s="7">
        <f>Z5*AE32</f>
        <v>55260.879833128514</v>
      </c>
      <c r="AF5" s="7">
        <f>AE5/'2. Diesel-battery-storage'!$L32</f>
        <v>126.45046125338676</v>
      </c>
      <c r="AJ5" s="4" t="s">
        <v>50</v>
      </c>
      <c r="AK5">
        <v>62.959305999999998</v>
      </c>
      <c r="AM5" s="1"/>
      <c r="AN5" s="4" t="s">
        <v>23</v>
      </c>
      <c r="AO5" s="9">
        <v>70</v>
      </c>
      <c r="AP5" s="9">
        <f t="shared" ref="AP5:AP14" si="2">AO5*AN$3</f>
        <v>560</v>
      </c>
      <c r="AR5" s="4" t="s">
        <v>9</v>
      </c>
      <c r="AS5" s="7">
        <v>94.975092000000004</v>
      </c>
      <c r="AT5" s="20">
        <f>(AS5-'0. Current system'!$G5)/'0. Current system'!$G5</f>
        <v>-0.53010479249158304</v>
      </c>
      <c r="AU5" s="21">
        <f>(AS5-'2. Diesel-battery-storage'!$G5)/'2. Diesel-battery-storage'!$G5</f>
        <v>-9.5644824897154285E-2</v>
      </c>
      <c r="AW5" s="33">
        <f t="shared" ref="AW5:AW14" si="3">(AS5-$G5)/$G5</f>
        <v>5.0144027431736848E-2</v>
      </c>
      <c r="AX5" s="7">
        <f>AS5*AX32</f>
        <v>55694.775076587866</v>
      </c>
      <c r="AY5" s="7">
        <f>AX5/'2. Diesel-battery-storage'!$L32</f>
        <v>127.44332010465307</v>
      </c>
      <c r="AZ5" s="7"/>
      <c r="BC5" s="4" t="s">
        <v>50</v>
      </c>
      <c r="BD5" s="7">
        <v>59.177022000000001</v>
      </c>
      <c r="BE5" s="7"/>
      <c r="BF5" s="1"/>
      <c r="BG5" s="4" t="s">
        <v>23</v>
      </c>
      <c r="BH5" s="9">
        <v>70</v>
      </c>
      <c r="BI5" s="9">
        <f>BH5*BG$3</f>
        <v>280</v>
      </c>
      <c r="BK5" s="4" t="s">
        <v>9</v>
      </c>
      <c r="BL5" s="7">
        <v>121.14546199999999</v>
      </c>
      <c r="BM5" s="20">
        <f>(BL5-'0. Current system'!$G5)/'0. Current system'!$G5</f>
        <v>-0.4006252501951455</v>
      </c>
      <c r="BN5" s="21">
        <f>(BL5-'2. Diesel-battery-storage'!$G5)/'2. Diesel-battery-storage'!$G5</f>
        <v>0.15355008553111096</v>
      </c>
      <c r="BP5" s="33">
        <f t="shared" ref="BP5:BP14" si="4">(BL5-$G5)/$G5</f>
        <v>0.33951103063694243</v>
      </c>
      <c r="BQ5" s="7">
        <f>BL5*BQ32</f>
        <v>76442.103382739777</v>
      </c>
      <c r="BR5" s="7">
        <f>BQ5/'2. Diesel-battery-storage'!$L32</f>
        <v>174.91830135740506</v>
      </c>
      <c r="BV5" s="4" t="s">
        <v>50</v>
      </c>
      <c r="BW5" s="7">
        <v>82.741033999999999</v>
      </c>
      <c r="BX5" s="7"/>
      <c r="BY5" s="1"/>
      <c r="BZ5" s="4" t="s">
        <v>23</v>
      </c>
      <c r="CA5">
        <v>70</v>
      </c>
      <c r="CB5" s="9">
        <f t="shared" ref="CB5:CB14" si="5">CA5*BZ$3</f>
        <v>420</v>
      </c>
      <c r="CD5" s="4" t="s">
        <v>9</v>
      </c>
      <c r="CE5" s="7">
        <v>105.406764</v>
      </c>
      <c r="CF5" s="20">
        <f>(CE5-'0. Current system'!$G5)/'0. Current system'!$G5</f>
        <v>-0.47849344286425405</v>
      </c>
      <c r="CG5" s="21">
        <f>(CE5-'2. Diesel-battery-storage'!$G5)/'2. Diesel-battery-storage'!$G5</f>
        <v>3.6858138999678529E-3</v>
      </c>
      <c r="CI5" s="33">
        <f t="shared" ref="CI5:CI14" si="6">(CE5-$G5)/$G5</f>
        <v>0.16548751187844707</v>
      </c>
      <c r="CJ5">
        <f>CE5*CJ32</f>
        <v>47075.024034108741</v>
      </c>
      <c r="CO5" s="4" t="s">
        <v>50</v>
      </c>
      <c r="CP5">
        <v>11.713115999999999</v>
      </c>
      <c r="CR5" s="1"/>
    </row>
    <row r="6" spans="1:96">
      <c r="A6" s="1"/>
      <c r="B6" s="4" t="s">
        <v>29</v>
      </c>
      <c r="C6" s="9">
        <v>200</v>
      </c>
      <c r="D6" s="9">
        <f t="shared" ref="D6:D14" si="7">C6*$B$3</f>
        <v>800</v>
      </c>
      <c r="F6" s="4" t="s">
        <v>11</v>
      </c>
      <c r="G6" s="7">
        <v>83.128519999999995</v>
      </c>
      <c r="H6" s="20">
        <f>(G6-'0. Current system'!$G6)/'0. Current system'!$G6</f>
        <v>-0.54954995375665661</v>
      </c>
      <c r="I6" s="21">
        <f>(G6-'2. Diesel-battery-storage'!$G6)/'2. Diesel-battery-storage'!$G6</f>
        <v>-9.1486669791273789E-2</v>
      </c>
      <c r="K6" s="52"/>
      <c r="L6" s="7">
        <f t="shared" si="0"/>
        <v>125175.03905268683</v>
      </c>
      <c r="M6" s="7">
        <f>L6/'2. Diesel-battery-storage'!$L33</f>
        <v>104.14571714147434</v>
      </c>
      <c r="Q6" s="4" t="s">
        <v>51</v>
      </c>
      <c r="R6" s="7">
        <v>53.697237000000001</v>
      </c>
      <c r="S6" s="7"/>
      <c r="T6" s="1"/>
      <c r="U6" s="4" t="s">
        <v>29</v>
      </c>
      <c r="V6">
        <v>200</v>
      </c>
      <c r="W6" s="9">
        <f t="shared" si="1"/>
        <v>1200</v>
      </c>
      <c r="Y6" s="4" t="s">
        <v>11</v>
      </c>
      <c r="Z6" s="7">
        <v>80.351775000000004</v>
      </c>
      <c r="AA6" s="20">
        <f>(Z6-'0. Current system'!$G6)/'0. Current system'!$G6</f>
        <v>-0.56459635315912371</v>
      </c>
      <c r="AB6" s="21">
        <f>(Z6-'2. Diesel-battery-storage'!$BE6)/'2. Diesel-battery-storage'!$BE6</f>
        <v>-0.10665057880147878</v>
      </c>
      <c r="AE6" s="7">
        <f t="shared" ref="AE6:AE14" si="8">Z6*AE33</f>
        <v>116050.4558116722</v>
      </c>
      <c r="AF6" s="7">
        <f>AE6/'2. Diesel-battery-storage'!$L33</f>
        <v>96.554057714449385</v>
      </c>
      <c r="AJ6" s="4" t="s">
        <v>51</v>
      </c>
      <c r="AK6">
        <v>45.95729</v>
      </c>
      <c r="AM6" s="1"/>
      <c r="AN6" s="4" t="s">
        <v>29</v>
      </c>
      <c r="AO6" s="9">
        <v>193.931558</v>
      </c>
      <c r="AP6" s="9">
        <f t="shared" si="2"/>
        <v>1551.452464</v>
      </c>
      <c r="AR6" s="4" t="s">
        <v>11</v>
      </c>
      <c r="AS6" s="7">
        <v>82.558330999999995</v>
      </c>
      <c r="AT6" s="20">
        <f>(AS6-'0. Current system'!$G6)/'0. Current system'!$G6</f>
        <v>-0.55263964741916194</v>
      </c>
      <c r="AU6" s="21">
        <f>(AS6-'2. Diesel-battery-storage'!$G6)/'2. Diesel-battery-storage'!$G6</f>
        <v>-9.7718277273740481E-2</v>
      </c>
      <c r="AW6" s="33">
        <f t="shared" si="3"/>
        <v>-6.8591260857284505E-3</v>
      </c>
      <c r="AX6" s="7">
        <f t="shared" ref="AX6:AX14" si="9">AS6*AX33</f>
        <v>117482.55889915863</v>
      </c>
      <c r="AY6" s="7">
        <f>AX6/'2. Diesel-battery-storage'!$L33</f>
        <v>97.74556845169802</v>
      </c>
      <c r="AZ6" s="7"/>
      <c r="BC6" s="4" t="s">
        <v>51</v>
      </c>
      <c r="BD6" s="7">
        <v>41.693156000000002</v>
      </c>
      <c r="BE6" s="7"/>
      <c r="BF6" s="1"/>
      <c r="BG6" s="4" t="s">
        <v>29</v>
      </c>
      <c r="BH6" s="9">
        <v>200</v>
      </c>
      <c r="BI6" s="9">
        <f t="shared" ref="BI6:BI14" si="10">BH6*BG$3</f>
        <v>800</v>
      </c>
      <c r="BK6" s="4" t="s">
        <v>11</v>
      </c>
      <c r="BL6" s="7">
        <v>107.76249799999999</v>
      </c>
      <c r="BM6" s="20">
        <f>(BL6-'0. Current system'!$G6)/'0. Current system'!$G6</f>
        <v>-0.41606536231610769</v>
      </c>
      <c r="BN6" s="21">
        <f>(BL6-'2. Diesel-battery-storage'!$G6)/'2. Diesel-battery-storage'!$G6</f>
        <v>0.17773858995193464</v>
      </c>
      <c r="BP6" s="33">
        <f t="shared" si="4"/>
        <v>0.29633605891215192</v>
      </c>
      <c r="BQ6" s="7">
        <f t="shared" ref="BQ6:BQ14" si="11">BL6*BQ33</f>
        <v>162268.91679973475</v>
      </c>
      <c r="BR6" s="7">
        <f>BQ6/'2. Diesel-battery-storage'!$L33</f>
        <v>135.0078485117586</v>
      </c>
      <c r="BV6" s="4" t="s">
        <v>51</v>
      </c>
      <c r="BW6" s="7">
        <v>53.697237000000001</v>
      </c>
      <c r="BX6" s="7"/>
      <c r="BY6" s="1"/>
      <c r="BZ6" s="4" t="s">
        <v>29</v>
      </c>
      <c r="CA6">
        <v>200</v>
      </c>
      <c r="CB6" s="9">
        <f t="shared" si="5"/>
        <v>1200</v>
      </c>
      <c r="CD6" s="4" t="s">
        <v>11</v>
      </c>
      <c r="CE6" s="7">
        <v>86.163178000000002</v>
      </c>
      <c r="CF6" s="20">
        <f>(CE6-'0. Current system'!$G6)/'0. Current system'!$G6</f>
        <v>-0.53310599641887735</v>
      </c>
      <c r="CG6" s="21">
        <f>(CE6-'2. Diesel-battery-storage'!$G6)/'2. Diesel-battery-storage'!$G6</f>
        <v>-5.8320829167327157E-2</v>
      </c>
      <c r="CI6" s="33">
        <f t="shared" si="6"/>
        <v>3.6505618047813285E-2</v>
      </c>
      <c r="CJ6">
        <f t="shared" ref="CJ6:CJ14" si="12">CE6*CJ33</f>
        <v>105658.9254863784</v>
      </c>
      <c r="CO6" s="4" t="s">
        <v>51</v>
      </c>
      <c r="CP6">
        <v>39.816108999999997</v>
      </c>
      <c r="CR6" s="1"/>
    </row>
    <row r="7" spans="1:96">
      <c r="A7" s="1"/>
      <c r="B7" s="4" t="s">
        <v>26</v>
      </c>
      <c r="C7" s="9">
        <v>0</v>
      </c>
      <c r="D7" s="9">
        <f t="shared" si="7"/>
        <v>0</v>
      </c>
      <c r="F7" s="4" t="s">
        <v>12</v>
      </c>
      <c r="G7" s="7">
        <v>111.57970299999999</v>
      </c>
      <c r="H7" s="20">
        <f>(G7-'0. Current system'!$G7)/'0. Current system'!$G7</f>
        <v>-0.13415369708276381</v>
      </c>
      <c r="I7" s="21">
        <f>(G7-'2. Diesel-battery-storage'!$G7)/'2. Diesel-battery-storage'!$G7</f>
        <v>0</v>
      </c>
      <c r="J7" s="35">
        <f>(G7-'2''. Storage - some with diesel'!$AK7)/'2''. Storage - some with diesel'!$AK7</f>
        <v>0</v>
      </c>
      <c r="K7" s="52"/>
      <c r="L7" s="7">
        <f t="shared" si="0"/>
        <v>14224.280960172699</v>
      </c>
      <c r="M7" s="7">
        <f>L7/'2. Diesel-battery-storage'!$L34</f>
        <v>111.57970299999999</v>
      </c>
      <c r="Q7" s="4" t="s">
        <v>52</v>
      </c>
      <c r="R7" s="7">
        <v>167.038633</v>
      </c>
      <c r="S7" s="7"/>
      <c r="T7" s="1"/>
      <c r="U7" s="4" t="s">
        <v>26</v>
      </c>
      <c r="V7">
        <v>0</v>
      </c>
      <c r="W7" s="9">
        <f t="shared" si="1"/>
        <v>0</v>
      </c>
      <c r="Y7" s="4" t="s">
        <v>12</v>
      </c>
      <c r="Z7" s="7">
        <v>111.57970299999999</v>
      </c>
      <c r="AA7" s="20">
        <f>(Z7-'0. Current system'!$G7)/'0. Current system'!$G7</f>
        <v>-0.13415369708276381</v>
      </c>
      <c r="AB7" s="21">
        <f>(Z7-'2. Diesel-battery-storage'!$BE7)/'2. Diesel-battery-storage'!$BE7</f>
        <v>0</v>
      </c>
      <c r="AC7" s="35">
        <f>(Z7-'2''. Storage - some with diesel'!$AK7)/'2''. Storage - some with diesel'!$AK7</f>
        <v>0</v>
      </c>
      <c r="AE7" s="7">
        <f t="shared" si="8"/>
        <v>14224.280960172699</v>
      </c>
      <c r="AF7" s="7">
        <f>AE7/'2. Diesel-battery-storage'!$L34</f>
        <v>111.57970299999999</v>
      </c>
      <c r="AJ7" s="4" t="s">
        <v>52</v>
      </c>
      <c r="AK7">
        <v>104.201857</v>
      </c>
      <c r="AM7" s="1"/>
      <c r="AN7" s="4" t="s">
        <v>26</v>
      </c>
      <c r="AO7" s="9">
        <v>0</v>
      </c>
      <c r="AP7" s="9">
        <f t="shared" si="2"/>
        <v>0</v>
      </c>
      <c r="AR7" s="4" t="s">
        <v>12</v>
      </c>
      <c r="AS7" s="7">
        <v>111.57970299999999</v>
      </c>
      <c r="AT7" s="20">
        <f>(AS7-'0. Current system'!$G7)/'0. Current system'!$G7</f>
        <v>-0.13415369708276381</v>
      </c>
      <c r="AU7" s="21">
        <f>(AS7-'2. Diesel-battery-storage'!$G7)/'2. Diesel-battery-storage'!$G7</f>
        <v>0</v>
      </c>
      <c r="AV7" s="35">
        <f>(AS7-'2''. Storage - some with diesel'!$AK7)/'2''. Storage - some with diesel'!$AK7</f>
        <v>0</v>
      </c>
      <c r="AW7" s="33">
        <f t="shared" si="3"/>
        <v>0</v>
      </c>
      <c r="AX7" s="7">
        <f t="shared" si="9"/>
        <v>14224.280960172699</v>
      </c>
      <c r="AY7" s="7">
        <f>AX7/'2. Diesel-battery-storage'!$L34</f>
        <v>111.57970299999999</v>
      </c>
      <c r="AZ7" s="7"/>
      <c r="BC7" s="4" t="s">
        <v>52</v>
      </c>
      <c r="BD7" s="7">
        <v>97.169227000000006</v>
      </c>
      <c r="BE7" s="7"/>
      <c r="BF7" s="1"/>
      <c r="BG7" s="4" t="s">
        <v>26</v>
      </c>
      <c r="BH7" s="9">
        <v>0</v>
      </c>
      <c r="BI7" s="9">
        <f t="shared" si="10"/>
        <v>0</v>
      </c>
      <c r="BK7" s="4" t="s">
        <v>12</v>
      </c>
      <c r="BL7" s="7">
        <v>111.57970299999999</v>
      </c>
      <c r="BM7" s="20">
        <f>(BL7-'0. Current system'!$G7)/'0. Current system'!$G7</f>
        <v>-0.13415369708276381</v>
      </c>
      <c r="BN7" s="21">
        <f>(BL7-'2. Diesel-battery-storage'!$G7)/'2. Diesel-battery-storage'!$G7</f>
        <v>0</v>
      </c>
      <c r="BO7" s="35">
        <f>(BL7-'2''. Storage - some with diesel'!$AK7)/'2''. Storage - some with diesel'!$AK7</f>
        <v>0</v>
      </c>
      <c r="BP7" s="33">
        <f t="shared" si="4"/>
        <v>0</v>
      </c>
      <c r="BQ7" s="7">
        <f t="shared" si="11"/>
        <v>14224.280960172699</v>
      </c>
      <c r="BR7" s="7">
        <f>BQ7/'2. Diesel-battery-storage'!$L34</f>
        <v>111.57970299999999</v>
      </c>
      <c r="BV7" s="4" t="s">
        <v>52</v>
      </c>
      <c r="BW7" s="7">
        <v>167.038633</v>
      </c>
      <c r="BX7" s="7"/>
      <c r="BY7" s="1"/>
      <c r="BZ7" s="4" t="s">
        <v>26</v>
      </c>
      <c r="CA7">
        <v>0</v>
      </c>
      <c r="CB7" s="9">
        <f t="shared" si="5"/>
        <v>0</v>
      </c>
      <c r="CD7" s="4" t="s">
        <v>12</v>
      </c>
      <c r="CE7" s="7">
        <v>111.57970299999999</v>
      </c>
      <c r="CF7" s="20">
        <f>(CE7-'0. Current system'!$G7)/'0. Current system'!$G7</f>
        <v>-0.13415369708276381</v>
      </c>
      <c r="CG7" s="21">
        <f>(CE7-'2. Diesel-battery-storage'!$G7)/'2. Diesel-battery-storage'!$G7</f>
        <v>0</v>
      </c>
      <c r="CH7" s="35">
        <f>(CE7-'2''. Storage - some with diesel'!$AK7)/'2''. Storage - some with diesel'!$AK7</f>
        <v>0</v>
      </c>
      <c r="CI7" s="33">
        <f t="shared" si="6"/>
        <v>0</v>
      </c>
      <c r="CJ7">
        <f t="shared" si="12"/>
        <v>14224.280960172699</v>
      </c>
      <c r="CO7" s="4" t="s">
        <v>52</v>
      </c>
      <c r="CP7">
        <v>35.299266000000003</v>
      </c>
      <c r="CR7" s="1"/>
    </row>
    <row r="8" spans="1:96">
      <c r="A8" s="1"/>
      <c r="B8" s="4" t="s">
        <v>25</v>
      </c>
      <c r="C8" s="9">
        <v>320</v>
      </c>
      <c r="D8" s="9">
        <f t="shared" si="7"/>
        <v>1280</v>
      </c>
      <c r="F8" s="4" t="s">
        <v>13</v>
      </c>
      <c r="G8" s="7">
        <v>96.566857999999996</v>
      </c>
      <c r="H8" s="20">
        <f>(G8-'0. Current system'!$G8)/'0. Current system'!$G8</f>
        <v>-0.43766986662547552</v>
      </c>
      <c r="I8" s="21">
        <f>(G8-'2. Diesel-battery-storage'!$G8)/'2. Diesel-battery-storage'!$G8</f>
        <v>7.7843323940786247E-2</v>
      </c>
      <c r="J8" s="35">
        <f>(G8-'2''. Storage - some with diesel'!$AK8)/'2''. Storage - some with diesel'!$AK8</f>
        <v>-0.13166242375047535</v>
      </c>
      <c r="K8" s="53"/>
      <c r="L8" s="7">
        <f t="shared" si="0"/>
        <v>220356.734764461</v>
      </c>
      <c r="M8" s="7">
        <f>L8/'2. Diesel-battery-storage'!$L35</f>
        <v>110.00400009667926</v>
      </c>
      <c r="Q8" s="4" t="s">
        <v>53</v>
      </c>
      <c r="R8" s="7">
        <v>94.185862</v>
      </c>
      <c r="S8" s="7"/>
      <c r="T8" s="1"/>
      <c r="U8" s="4" t="s">
        <v>25</v>
      </c>
      <c r="V8" s="7">
        <v>320</v>
      </c>
      <c r="W8" s="9">
        <f t="shared" si="1"/>
        <v>1920</v>
      </c>
      <c r="Y8" s="4" t="s">
        <v>13</v>
      </c>
      <c r="Z8" s="7">
        <v>99.348410999999999</v>
      </c>
      <c r="AA8" s="20">
        <f>(Z8-'0. Current system'!$G8)/'0. Current system'!$G8</f>
        <v>-0.42147226941797078</v>
      </c>
      <c r="AB8" s="21">
        <f>(Z8-'2. Diesel-battery-storage'!$BE8)/'2. Diesel-battery-storage'!$BE8</f>
        <v>0.1419478868947987</v>
      </c>
      <c r="AC8" s="35">
        <f>(Z8-'2''. Storage - some with diesel'!$AK8)/'2''. Storage - some with diesel'!$AK8</f>
        <v>-0.10665045753086824</v>
      </c>
      <c r="AD8" s="53"/>
      <c r="AE8" s="7">
        <f t="shared" si="8"/>
        <v>217502.3625066127</v>
      </c>
      <c r="AF8" s="7">
        <f>AE8/'2. Diesel-battery-storage'!$L35</f>
        <v>108.57907261958658</v>
      </c>
      <c r="AJ8" s="4" t="s">
        <v>53</v>
      </c>
      <c r="AK8">
        <v>70.761678000000003</v>
      </c>
      <c r="AM8" s="1"/>
      <c r="AN8" s="4" t="s">
        <v>25</v>
      </c>
      <c r="AO8" s="9">
        <v>277.11778199999998</v>
      </c>
      <c r="AP8" s="9">
        <f t="shared" si="2"/>
        <v>2216.9422559999998</v>
      </c>
      <c r="AR8" s="4" t="s">
        <v>13</v>
      </c>
      <c r="AS8" s="7">
        <v>98.568078999999997</v>
      </c>
      <c r="AT8" s="20">
        <f>(AS8-'0. Current system'!$G8)/'0. Current system'!$G8</f>
        <v>-0.42601631492928282</v>
      </c>
      <c r="AU8" s="21">
        <f>(AS8-'2. Diesel-battery-storage'!$G8)/'2. Diesel-battery-storage'!$G8</f>
        <v>0.10018020782883928</v>
      </c>
      <c r="AV8" s="35">
        <f>(AS8-'2''. Storage - some with diesel'!$AK8)/'2''. Storage - some with diesel'!$AK8</f>
        <v>-0.11366727066514197</v>
      </c>
      <c r="AW8" s="33">
        <f t="shared" si="3"/>
        <v>2.0723683481552242E-2</v>
      </c>
      <c r="AX8" s="7">
        <f t="shared" si="9"/>
        <v>219091.15573265497</v>
      </c>
      <c r="AY8" s="7">
        <f>AX8/'2. Diesel-battery-storage'!$L35</f>
        <v>109.37221202772844</v>
      </c>
      <c r="AZ8" s="7"/>
      <c r="BC8" s="4" t="s">
        <v>53</v>
      </c>
      <c r="BD8" s="7">
        <v>62.137686000000002</v>
      </c>
      <c r="BE8" s="7"/>
      <c r="BF8" s="1"/>
      <c r="BG8" s="4" t="s">
        <v>25</v>
      </c>
      <c r="BH8" s="9">
        <v>320</v>
      </c>
      <c r="BI8" s="9">
        <f t="shared" si="10"/>
        <v>1280</v>
      </c>
      <c r="BK8" s="4" t="s">
        <v>13</v>
      </c>
      <c r="BL8" s="7">
        <v>119.02925</v>
      </c>
      <c r="BM8" s="20">
        <f>(BL8-'0. Current system'!$G8)/'0. Current system'!$G8</f>
        <v>-0.30686639894642093</v>
      </c>
      <c r="BN8" s="21">
        <f>(BL8-'2. Diesel-battery-storage'!$G8)/'2. Diesel-battery-storage'!$G8</f>
        <v>0.32856018227473904</v>
      </c>
      <c r="BO8" s="35">
        <f>(BL8-'2''. Storage - some with diesel'!$AK8)/'2''. Storage - some with diesel'!$AK8</f>
        <v>7.0321356503063814E-2</v>
      </c>
      <c r="BP8" s="33">
        <f t="shared" si="4"/>
        <v>0.23260974277531127</v>
      </c>
      <c r="BQ8" s="7">
        <f t="shared" si="11"/>
        <v>262854.1404660478</v>
      </c>
      <c r="BR8" s="7">
        <f>BQ8/'2. Diesel-battery-storage'!$L35</f>
        <v>131.21907494294138</v>
      </c>
      <c r="BV8" s="4" t="s">
        <v>53</v>
      </c>
      <c r="BW8" s="7">
        <v>94.185862</v>
      </c>
      <c r="BX8" s="7"/>
      <c r="BY8" s="1"/>
      <c r="BZ8" s="4" t="s">
        <v>25</v>
      </c>
      <c r="CA8" s="7">
        <v>202.12660500000001</v>
      </c>
      <c r="CB8" s="9">
        <f t="shared" si="5"/>
        <v>1212.75963</v>
      </c>
      <c r="CD8" s="4" t="s">
        <v>13</v>
      </c>
      <c r="CE8" s="7">
        <v>95.221389000000002</v>
      </c>
      <c r="CF8" s="20">
        <f>(CE8-'0. Current system'!$G8)/'0. Current system'!$G8</f>
        <v>-0.44550482965410887</v>
      </c>
      <c r="CG8" s="21">
        <f>(CE8-'2. Diesel-battery-storage'!$G8)/'2. Diesel-battery-storage'!$G8</f>
        <v>6.2825699786345196E-2</v>
      </c>
      <c r="CH8" s="35">
        <f>(CE8-'2''. Storage - some with diesel'!$AK8)/'2''. Storage - some with diesel'!$AK8</f>
        <v>-0.14376099788425184</v>
      </c>
      <c r="CI8" s="33">
        <f t="shared" si="6"/>
        <v>-1.3933030729859661E-2</v>
      </c>
      <c r="CJ8">
        <f t="shared" si="12"/>
        <v>195551.7455554301</v>
      </c>
      <c r="CO8" s="4" t="s">
        <v>53</v>
      </c>
      <c r="CP8">
        <v>63.619582999999999</v>
      </c>
      <c r="CR8" s="1"/>
    </row>
    <row r="9" spans="1:96">
      <c r="A9" s="1"/>
      <c r="B9" s="4" t="s">
        <v>31</v>
      </c>
      <c r="C9" s="9">
        <v>23.051635000000001</v>
      </c>
      <c r="D9" s="9">
        <f t="shared" si="7"/>
        <v>92.206540000000004</v>
      </c>
      <c r="F9" s="4" t="s">
        <v>14</v>
      </c>
      <c r="G9" s="7">
        <v>88.774929999999998</v>
      </c>
      <c r="H9" s="20">
        <f>(G9-'0. Current system'!$G9)/'0. Current system'!$G9</f>
        <v>-0.5597806824886995</v>
      </c>
      <c r="I9" s="21">
        <f>(G9-'2. Diesel-battery-storage'!$G9)/'2. Diesel-battery-storage'!$G9</f>
        <v>-3.49392594476233E-2</v>
      </c>
      <c r="J9" s="35">
        <f>(G9-'2''. Storage - some with diesel'!$AK9)/'2''. Storage - some with diesel'!$AK9</f>
        <v>-0.22247337916226134</v>
      </c>
      <c r="K9" s="52"/>
      <c r="L9" s="7">
        <f t="shared" si="0"/>
        <v>26989.253459054449</v>
      </c>
      <c r="M9" s="7">
        <f>L9/'2. Diesel-battery-storage'!$L36</f>
        <v>102.22477936914949</v>
      </c>
      <c r="Q9" s="4" t="s">
        <v>68</v>
      </c>
      <c r="R9" s="7">
        <v>0</v>
      </c>
      <c r="S9" s="7"/>
      <c r="T9" s="1"/>
      <c r="U9" s="4" t="s">
        <v>31</v>
      </c>
      <c r="V9" s="7">
        <v>15.472854</v>
      </c>
      <c r="W9" s="9">
        <f t="shared" si="1"/>
        <v>92.837124000000003</v>
      </c>
      <c r="Y9" s="4" t="s">
        <v>14</v>
      </c>
      <c r="Z9" s="7">
        <v>88.713215000000005</v>
      </c>
      <c r="AA9" s="20">
        <f>(Z9-'0. Current system'!$G9)/'0. Current system'!$G9</f>
        <v>-0.56008671635637142</v>
      </c>
      <c r="AB9" s="21">
        <f>(Z9-'2. Diesel-battery-storage'!$BE9)/'2. Diesel-battery-storage'!$BE9</f>
        <v>-3.1646027589960074E-2</v>
      </c>
      <c r="AC9" s="35">
        <f>(Z9-'2''. Storage - some with diesel'!$AK9)/'2''. Storage - some with diesel'!$AK9</f>
        <v>-0.22301390400869034</v>
      </c>
      <c r="AE9" s="7">
        <f t="shared" si="8"/>
        <v>26961.155643186528</v>
      </c>
      <c r="AF9" s="7">
        <f>AE9/'2. Diesel-battery-storage'!$L36</f>
        <v>102.11835578717785</v>
      </c>
      <c r="AJ9" s="4" t="s">
        <v>68</v>
      </c>
      <c r="AK9">
        <v>0</v>
      </c>
      <c r="AM9" s="1"/>
      <c r="AN9" s="4" t="s">
        <v>31</v>
      </c>
      <c r="AO9" s="9">
        <v>14.751151999999999</v>
      </c>
      <c r="AP9" s="9">
        <f t="shared" si="2"/>
        <v>118.009216</v>
      </c>
      <c r="AR9" s="4" t="s">
        <v>14</v>
      </c>
      <c r="AS9" s="7">
        <v>91.659054999999995</v>
      </c>
      <c r="AT9" s="20">
        <f>(AS9-'0. Current system'!$G9)/'0. Current system'!$G9</f>
        <v>-0.54547881213952232</v>
      </c>
      <c r="AU9" s="21">
        <f>(AS9-'2. Diesel-battery-storage'!$G9)/'2. Diesel-battery-storage'!$G9</f>
        <v>-3.5863109480230066E-3</v>
      </c>
      <c r="AV9" s="35">
        <f>(AS9-'2''. Storage - some with diesel'!$AK9)/'2''. Storage - some with diesel'!$AK9</f>
        <v>-0.19721304986294633</v>
      </c>
      <c r="AW9" s="33">
        <f t="shared" si="3"/>
        <v>3.2488057157578132E-2</v>
      </c>
      <c r="AX9" s="7">
        <f t="shared" si="9"/>
        <v>27056.121779798166</v>
      </c>
      <c r="AY9" s="7">
        <f>AX9/'2. Diesel-battery-storage'!$L36</f>
        <v>102.47805052187634</v>
      </c>
      <c r="AZ9" s="7"/>
      <c r="BC9" s="4" t="s">
        <v>68</v>
      </c>
      <c r="BD9" s="7">
        <v>0</v>
      </c>
      <c r="BE9" s="7"/>
      <c r="BF9" s="1"/>
      <c r="BG9" s="4" t="s">
        <v>31</v>
      </c>
      <c r="BH9" s="9">
        <v>40.453879000000001</v>
      </c>
      <c r="BI9" s="9">
        <f t="shared" si="10"/>
        <v>161.815516</v>
      </c>
      <c r="BK9" s="4" t="s">
        <v>14</v>
      </c>
      <c r="BL9" s="7">
        <v>108.799244</v>
      </c>
      <c r="BM9" s="20">
        <f>(BL9-'0. Current system'!$G9)/'0. Current system'!$G9</f>
        <v>-0.46048361919941289</v>
      </c>
      <c r="BN9" s="21">
        <f>(BL9-'2. Diesel-battery-storage'!$G9)/'2. Diesel-battery-storage'!$G9</f>
        <v>0.18274245877950826</v>
      </c>
      <c r="BO9" s="35">
        <f>(BL9-'2''. Storage - some with diesel'!$AK9)/'2''. Storage - some with diesel'!$AK9</f>
        <v>-4.7092365637228718E-2</v>
      </c>
      <c r="BP9" s="33">
        <f t="shared" si="4"/>
        <v>0.22556271235584197</v>
      </c>
      <c r="BQ9" s="7">
        <f t="shared" si="11"/>
        <v>29974.922308923458</v>
      </c>
      <c r="BR9" s="7">
        <f>BQ9/'2. Diesel-battery-storage'!$L36</f>
        <v>113.53333000802643</v>
      </c>
      <c r="BV9" s="4" t="s">
        <v>68</v>
      </c>
      <c r="BW9" s="7">
        <v>0</v>
      </c>
      <c r="BX9" s="7"/>
      <c r="BY9" s="1"/>
      <c r="BZ9" s="4" t="s">
        <v>31</v>
      </c>
      <c r="CA9" s="7">
        <v>37.293460000000003</v>
      </c>
      <c r="CB9" s="9">
        <f t="shared" si="5"/>
        <v>223.76076</v>
      </c>
      <c r="CD9" s="4" t="s">
        <v>14</v>
      </c>
      <c r="CE9" s="7">
        <v>77.379492999999997</v>
      </c>
      <c r="CF9" s="20">
        <f>(CE9-'0. Current system'!$G9)/'0. Current system'!$G9</f>
        <v>-0.61628865719375436</v>
      </c>
      <c r="CG9" s="21">
        <f>(CE9-'2. Diesel-battery-storage'!$G9)/'2. Diesel-battery-storage'!$G9</f>
        <v>-0.15881757588378331</v>
      </c>
      <c r="CH9" s="35">
        <f>(CE9-'2''. Storage - some with diesel'!$AK9)/'2''. Storage - some with diesel'!$AK9</f>
        <v>-0.3222792097450547</v>
      </c>
      <c r="CI9" s="33">
        <f t="shared" si="6"/>
        <v>-0.1283632327279785</v>
      </c>
      <c r="CJ9">
        <f t="shared" si="12"/>
        <v>20680.114591093738</v>
      </c>
      <c r="CO9" s="4" t="s">
        <v>54</v>
      </c>
      <c r="CP9">
        <v>60.449061</v>
      </c>
      <c r="CR9" s="1"/>
    </row>
    <row r="10" spans="1:96">
      <c r="A10" s="1"/>
      <c r="B10" s="4" t="s">
        <v>28</v>
      </c>
      <c r="C10" s="9">
        <v>75</v>
      </c>
      <c r="D10" s="9">
        <f t="shared" si="7"/>
        <v>300</v>
      </c>
      <c r="F10" s="4" t="s">
        <v>15</v>
      </c>
      <c r="G10" s="7">
        <v>80.674544999999995</v>
      </c>
      <c r="H10" s="20">
        <f>(G10-'0. Current system'!$G10)/'0. Current system'!$G10</f>
        <v>-0.59960074795349538</v>
      </c>
      <c r="I10" s="21">
        <f>(G10-'2. Diesel-battery-storage'!$G10)/'2. Diesel-battery-storage'!$G10</f>
        <v>-0.1532198515229943</v>
      </c>
      <c r="J10" s="35">
        <f>(G10-'2''. Storage - some with diesel'!$AK10)/'2''. Storage - some with diesel'!$AK10</f>
        <v>-0.31960869862013092</v>
      </c>
      <c r="K10" s="52"/>
      <c r="L10" s="7">
        <f t="shared" si="0"/>
        <v>48779.814987499361</v>
      </c>
      <c r="M10" s="7">
        <f>L10/'2. Diesel-battery-storage'!$L37</f>
        <v>103.03285908925062</v>
      </c>
      <c r="Q10" s="4" t="s">
        <v>69</v>
      </c>
      <c r="R10" s="7">
        <v>0</v>
      </c>
      <c r="S10" s="7"/>
      <c r="T10" s="1"/>
      <c r="U10" s="4" t="s">
        <v>28</v>
      </c>
      <c r="V10" s="7">
        <v>69.387095000000002</v>
      </c>
      <c r="W10" s="9">
        <f t="shared" si="1"/>
        <v>416.32257000000004</v>
      </c>
      <c r="Y10" s="4" t="s">
        <v>15</v>
      </c>
      <c r="Z10" s="7">
        <v>80.964078000000001</v>
      </c>
      <c r="AA10" s="20">
        <f>(Z10-'0. Current system'!$G10)/'0. Current system'!$G10</f>
        <v>-0.59816375445520198</v>
      </c>
      <c r="AB10" s="21">
        <f>(Z10-'2. Diesel-battery-storage'!$BE10)/'2. Diesel-battery-storage'!$BE10</f>
        <v>-0.13408679388660991</v>
      </c>
      <c r="AC10" s="35">
        <f>(Z10-'2''. Storage - some with diesel'!$AK10)/'2''. Storage - some with diesel'!$AK10</f>
        <v>-0.31716684122059524</v>
      </c>
      <c r="AE10" s="7">
        <f t="shared" si="8"/>
        <v>48482.758756703071</v>
      </c>
      <c r="AF10" s="7">
        <f>AE10/'2. Diesel-battery-storage'!$L37</f>
        <v>102.40541610331347</v>
      </c>
      <c r="AJ10" s="4" t="s">
        <v>69</v>
      </c>
      <c r="AK10">
        <v>0</v>
      </c>
      <c r="AM10" s="1"/>
      <c r="AN10" s="4" t="s">
        <v>28</v>
      </c>
      <c r="AO10" s="9">
        <v>53.297424999999997</v>
      </c>
      <c r="AP10" s="9">
        <f t="shared" si="2"/>
        <v>426.37939999999998</v>
      </c>
      <c r="AR10" s="4" t="s">
        <v>15</v>
      </c>
      <c r="AS10" s="7">
        <v>79.445035000000004</v>
      </c>
      <c r="AT10" s="20">
        <f>(AS10-'0. Current system'!$G10)/'0. Current system'!$G10</f>
        <v>-0.6057029811223803</v>
      </c>
      <c r="AU10" s="21">
        <f>(AS10-'2. Diesel-battery-storage'!$G10)/'2. Diesel-battery-storage'!$G10</f>
        <v>-0.16612509518261401</v>
      </c>
      <c r="AV10" s="35">
        <f>(AS10-'2''. Storage - some with diesel'!$AK10)/'2''. Storage - some with diesel'!$AK10</f>
        <v>-0.32997811451159403</v>
      </c>
      <c r="AW10" s="33">
        <f t="shared" si="3"/>
        <v>-1.5240371048885254E-2</v>
      </c>
      <c r="AX10" s="7">
        <f t="shared" si="9"/>
        <v>48754.412205356901</v>
      </c>
      <c r="AY10" s="7">
        <f>AX10/'2. Diesel-battery-storage'!$L37</f>
        <v>102.97920326309323</v>
      </c>
      <c r="AZ10" s="7"/>
      <c r="BC10" s="4" t="s">
        <v>69</v>
      </c>
      <c r="BD10" s="7">
        <v>0</v>
      </c>
      <c r="BE10" s="7"/>
      <c r="BF10" s="1"/>
      <c r="BG10" s="4" t="s">
        <v>28</v>
      </c>
      <c r="BH10" s="9">
        <v>75</v>
      </c>
      <c r="BI10" s="9">
        <f t="shared" si="10"/>
        <v>300</v>
      </c>
      <c r="BK10" s="4" t="s">
        <v>15</v>
      </c>
      <c r="BL10" s="7">
        <v>113.8163</v>
      </c>
      <c r="BM10" s="20">
        <f>(BL10-'0. Current system'!$G10)/'0. Current system'!$G10</f>
        <v>-0.43511349967079971</v>
      </c>
      <c r="BN10" s="21">
        <f>(BL10-'2. Diesel-battery-storage'!$G10)/'2. Diesel-battery-storage'!$G10</f>
        <v>0.19464427612332277</v>
      </c>
      <c r="BO10" s="35">
        <f>(BL10-'2''. Storage - some with diesel'!$AK10)/'2''. Storage - some with diesel'!$AK10</f>
        <v>-4.0098453914532775E-2</v>
      </c>
      <c r="BP10" s="33">
        <f t="shared" si="4"/>
        <v>0.41080808078929987</v>
      </c>
      <c r="BQ10" s="7">
        <f t="shared" si="11"/>
        <v>56433.319208948495</v>
      </c>
      <c r="BR10" s="7">
        <f>BQ10/'2. Diesel-battery-storage'!$L37</f>
        <v>119.19861171028117</v>
      </c>
      <c r="BV10" s="4" t="s">
        <v>69</v>
      </c>
      <c r="BW10" s="7">
        <v>0</v>
      </c>
      <c r="BX10" s="7"/>
      <c r="BY10" s="1"/>
      <c r="BZ10" s="4" t="s">
        <v>28</v>
      </c>
      <c r="CA10" s="7">
        <v>70.258525000000006</v>
      </c>
      <c r="CB10" s="9">
        <f t="shared" si="5"/>
        <v>421.55115000000001</v>
      </c>
      <c r="CD10" s="4" t="s">
        <v>15</v>
      </c>
      <c r="CE10" s="7">
        <v>81.574789999999993</v>
      </c>
      <c r="CF10" s="20">
        <f>(CE10-'0. Current system'!$G10)/'0. Current system'!$G10</f>
        <v>-0.59513270385534023</v>
      </c>
      <c r="CG10" s="21">
        <f>(CE10-'2. Diesel-battery-storage'!$G10)/'2. Diesel-battery-storage'!$G10</f>
        <v>-0.14377065543808698</v>
      </c>
      <c r="CH10" s="35">
        <f>(CE10-'2''. Storage - some with diesel'!$AK10)/'2''. Storage - some with diesel'!$AK10</f>
        <v>-0.31201623104425896</v>
      </c>
      <c r="CI10" s="33">
        <f t="shared" si="6"/>
        <v>1.1158972139229274E-2</v>
      </c>
      <c r="CJ10">
        <f t="shared" si="12"/>
        <v>39251.400111849631</v>
      </c>
      <c r="CO10" s="4" t="s">
        <v>55</v>
      </c>
      <c r="CP10">
        <v>182.22953999999999</v>
      </c>
      <c r="CR10" s="1"/>
    </row>
    <row r="11" spans="1:96">
      <c r="A11" s="1"/>
      <c r="B11" s="4" t="s">
        <v>24</v>
      </c>
      <c r="C11" s="7">
        <v>1.4849559999999999</v>
      </c>
      <c r="D11" s="9">
        <f t="shared" si="7"/>
        <v>5.9398239999999998</v>
      </c>
      <c r="F11" s="4" t="s">
        <v>16</v>
      </c>
      <c r="G11" s="7">
        <v>114.624548</v>
      </c>
      <c r="H11" s="20">
        <f>(G11-'0. Current system'!$G11)/'0. Current system'!$G11</f>
        <v>-0.40051240087286366</v>
      </c>
      <c r="I11" s="21">
        <f>(G11-'2. Diesel-battery-storage'!$G11)/'2. Diesel-battery-storage'!$G11</f>
        <v>8.2098813811111254E-2</v>
      </c>
      <c r="J11" s="35">
        <f>(G11-'2''. Storage - some with diesel'!$AK11)/'2''. Storage - some with diesel'!$AK11</f>
        <v>-5.1670372674867578E-2</v>
      </c>
      <c r="K11" s="52"/>
      <c r="L11" s="7">
        <f t="shared" si="0"/>
        <v>1914.8353984625362</v>
      </c>
      <c r="M11" s="7">
        <f>L11/'2. Diesel-battery-storage'!$L38</f>
        <v>116.82577987987912</v>
      </c>
      <c r="Q11" s="4" t="s">
        <v>54</v>
      </c>
      <c r="R11" s="7">
        <v>149.26183900000001</v>
      </c>
      <c r="S11" s="7"/>
      <c r="T11" s="1"/>
      <c r="U11" s="4" t="s">
        <v>24</v>
      </c>
      <c r="V11" s="7">
        <v>1.0731520000000001</v>
      </c>
      <c r="W11" s="9">
        <f t="shared" si="1"/>
        <v>6.4389120000000002</v>
      </c>
      <c r="Y11" s="4" t="s">
        <v>16</v>
      </c>
      <c r="Z11" s="7">
        <v>114.532106</v>
      </c>
      <c r="AA11" s="20">
        <f>(Z11-'0. Current system'!$G11)/'0. Current system'!$G11</f>
        <v>-0.40099587351118993</v>
      </c>
      <c r="AB11" s="21">
        <f>(Z11-'2. Diesel-battery-storage'!$BE11)/'2. Diesel-battery-storage'!$BE11</f>
        <v>8.2100220308643682E-2</v>
      </c>
      <c r="AC11" s="35">
        <f>(Z11-'2''. Storage - some with diesel'!$AK11)/'2''. Storage - some with diesel'!$AK11</f>
        <v>-5.2435178198106766E-2</v>
      </c>
      <c r="AE11" s="7">
        <f t="shared" si="8"/>
        <v>1912.7821481048277</v>
      </c>
      <c r="AF11" s="7">
        <f>AE11/'2. Diesel-battery-storage'!$L38</f>
        <v>116.7005092824583</v>
      </c>
      <c r="AJ11" s="4" t="s">
        <v>54</v>
      </c>
      <c r="AK11">
        <v>105.817781</v>
      </c>
      <c r="AM11" s="1"/>
      <c r="AN11" s="4" t="s">
        <v>24</v>
      </c>
      <c r="AO11" s="9">
        <v>0.85423899999999997</v>
      </c>
      <c r="AP11" s="9">
        <f t="shared" si="2"/>
        <v>6.8339119999999998</v>
      </c>
      <c r="AR11" s="4" t="s">
        <v>16</v>
      </c>
      <c r="AS11" s="7">
        <v>115.323722</v>
      </c>
      <c r="AT11" s="20">
        <f>(AS11-'0. Current system'!$G11)/'0. Current system'!$G11</f>
        <v>-0.39685571345341042</v>
      </c>
      <c r="AU11" s="21">
        <f>(AS11-'2. Diesel-battery-storage'!$G11)/'2. Diesel-battery-storage'!$G11</f>
        <v>8.8699279149893395E-2</v>
      </c>
      <c r="AV11" s="35">
        <f>(AS11-'2''. Storage - some with diesel'!$AK11)/'2''. Storage - some with diesel'!$AK11</f>
        <v>-4.5885857661072962E-2</v>
      </c>
      <c r="AW11" s="33">
        <f t="shared" si="3"/>
        <v>6.0996881749972032E-3</v>
      </c>
      <c r="AX11" s="7">
        <f t="shared" si="9"/>
        <v>1917.3385274451759</v>
      </c>
      <c r="AY11" s="7">
        <f>AX11/'2. Diesel-battery-storage'!$L38</f>
        <v>116.97849796508457</v>
      </c>
      <c r="AZ11" s="7"/>
      <c r="BC11" s="4" t="s">
        <v>54</v>
      </c>
      <c r="BD11" s="7">
        <v>117.099863</v>
      </c>
      <c r="BE11" s="7"/>
      <c r="BF11" s="1"/>
      <c r="BG11" s="4" t="s">
        <v>24</v>
      </c>
      <c r="BH11" s="9">
        <v>1.7263170000000001</v>
      </c>
      <c r="BI11" s="9">
        <f t="shared" si="10"/>
        <v>6.9052680000000004</v>
      </c>
      <c r="BK11" s="4" t="s">
        <v>16</v>
      </c>
      <c r="BL11" s="7">
        <v>119.745091</v>
      </c>
      <c r="BM11" s="20">
        <f>(BL11-'0. Current system'!$G11)/'0. Current system'!$G11</f>
        <v>-0.37373190679146268</v>
      </c>
      <c r="BN11" s="21">
        <f>(BL11-'2. Diesel-battery-storage'!$G11)/'2. Diesel-battery-storage'!$G11</f>
        <v>0.13043866424497108</v>
      </c>
      <c r="BO11" s="35">
        <f>(BL11-'2''. Storage - some with diesel'!$AK11)/'2''. Storage - some with diesel'!$AK11</f>
        <v>-9.3063004091927474E-3</v>
      </c>
      <c r="BP11" s="33">
        <f t="shared" si="4"/>
        <v>4.4672307017515983E-2</v>
      </c>
      <c r="BQ11" s="7">
        <f t="shared" si="11"/>
        <v>1965.6426114104754</v>
      </c>
      <c r="BR11" s="7">
        <f>BQ11/'2. Diesel-battery-storage'!$L38</f>
        <v>119.92557231161081</v>
      </c>
      <c r="BV11" s="4" t="s">
        <v>54</v>
      </c>
      <c r="BW11" s="7">
        <v>127.317196</v>
      </c>
      <c r="BX11" s="7"/>
      <c r="BY11" s="1"/>
      <c r="BZ11" s="4" t="s">
        <v>24</v>
      </c>
      <c r="CA11" s="7">
        <v>0.80285700000000004</v>
      </c>
      <c r="CB11" s="9">
        <f t="shared" si="5"/>
        <v>4.8171420000000005</v>
      </c>
      <c r="CD11" s="4" t="s">
        <v>16</v>
      </c>
      <c r="CE11" s="7">
        <v>110.708117</v>
      </c>
      <c r="CF11" s="20">
        <f>(CE11-'0. Current system'!$G11)/'0. Current system'!$G11</f>
        <v>-0.42099537645098406</v>
      </c>
      <c r="CG11" s="21">
        <f>(CE11-'2. Diesel-battery-storage'!$G11)/'2. Diesel-battery-storage'!$G11</f>
        <v>4.5126233212816835E-2</v>
      </c>
      <c r="CH11" s="35">
        <f>(CE11-'2''. Storage - some with diesel'!$AK11)/'2''. Storage - some with diesel'!$AK11</f>
        <v>-8.4072398379471433E-2</v>
      </c>
      <c r="CI11" s="33">
        <f t="shared" si="6"/>
        <v>-3.4167471700739034E-2</v>
      </c>
      <c r="CJ11">
        <f t="shared" si="12"/>
        <v>1850.1087716841473</v>
      </c>
      <c r="CO11" s="4" t="s">
        <v>56</v>
      </c>
      <c r="CP11">
        <v>46.618661000000003</v>
      </c>
      <c r="CR11" s="1"/>
    </row>
    <row r="12" spans="1:96">
      <c r="A12" s="1"/>
      <c r="B12" s="4" t="s">
        <v>27</v>
      </c>
      <c r="C12" s="9">
        <v>250</v>
      </c>
      <c r="D12" s="9">
        <f t="shared" si="7"/>
        <v>1000</v>
      </c>
      <c r="F12" s="4" t="s">
        <v>17</v>
      </c>
      <c r="G12" s="7">
        <v>82.393386000000007</v>
      </c>
      <c r="H12" s="20">
        <f>(G12-'0. Current system'!$G12)/'0. Current system'!$G12</f>
        <v>-0.55631902690711932</v>
      </c>
      <c r="I12" s="21">
        <f>(G12-'2. Diesel-battery-storage'!$G12)/'2. Diesel-battery-storage'!$G12</f>
        <v>-0.11243754179971067</v>
      </c>
      <c r="J12" s="35">
        <f>(G12-'2''. Storage - some with diesel'!$AK12)/'2''. Storage - some with diesel'!$AK12</f>
        <v>-0.23024986067945555</v>
      </c>
      <c r="K12" s="53"/>
      <c r="L12" s="7">
        <f t="shared" si="0"/>
        <v>174416.02489720695</v>
      </c>
      <c r="M12" s="7">
        <f>L12/'2. Diesel-battery-storage'!$L39</f>
        <v>95.776498890630563</v>
      </c>
      <c r="Q12" s="4" t="s">
        <v>55</v>
      </c>
      <c r="R12" s="7">
        <v>164.38520199999999</v>
      </c>
      <c r="S12" s="7"/>
      <c r="T12" s="1"/>
      <c r="U12" s="4" t="s">
        <v>27</v>
      </c>
      <c r="V12" s="7">
        <v>216.81569200000001</v>
      </c>
      <c r="W12" s="9">
        <f t="shared" si="1"/>
        <v>1300.8941520000001</v>
      </c>
      <c r="Y12" s="4" t="s">
        <v>17</v>
      </c>
      <c r="Z12" s="7">
        <v>82.886562999999995</v>
      </c>
      <c r="AA12" s="20">
        <f>(Z12-'0. Current system'!$G12)/'0. Current system'!$G12</f>
        <v>-0.55366331311879391</v>
      </c>
      <c r="AB12" s="21">
        <f>(Z12-'2. Diesel-battery-storage'!$BE12)/'2. Diesel-battery-storage'!$BE12</f>
        <v>-8.9702796011048205E-2</v>
      </c>
      <c r="AC12" s="35">
        <f>(Z12-'2''. Storage - some with diesel'!$AK12)/'2''. Storage - some with diesel'!$AK12</f>
        <v>-0.22564241482864805</v>
      </c>
      <c r="AD12" s="53"/>
      <c r="AE12" s="7">
        <f t="shared" si="8"/>
        <v>172817.27487159206</v>
      </c>
      <c r="AF12" s="7">
        <f>AE12/'2. Diesel-battery-storage'!$L39</f>
        <v>94.898582540083396</v>
      </c>
      <c r="AJ12" s="4" t="s">
        <v>55</v>
      </c>
      <c r="AK12">
        <v>120.638172</v>
      </c>
      <c r="AM12" s="1"/>
      <c r="AN12" s="4" t="s">
        <v>27</v>
      </c>
      <c r="AO12" s="9">
        <v>203.96641299999999</v>
      </c>
      <c r="AP12" s="9">
        <f t="shared" si="2"/>
        <v>1631.7313039999999</v>
      </c>
      <c r="AR12" s="4" t="s">
        <v>17</v>
      </c>
      <c r="AS12" s="7">
        <v>83.532002000000006</v>
      </c>
      <c r="AT12" s="20">
        <f>(AS12-'0. Current system'!$G12)/'0. Current system'!$G12</f>
        <v>-0.55018768215501601</v>
      </c>
      <c r="AU12" s="21">
        <f>(AS12-'2. Diesel-battery-storage'!$G12)/'2. Diesel-battery-storage'!$G12</f>
        <v>-0.10017208136692569</v>
      </c>
      <c r="AV12" s="35">
        <f>(AS12-'2''. Storage - some with diesel'!$AK12)/'2''. Storage - some with diesel'!$AK12</f>
        <v>-0.21961247985094343</v>
      </c>
      <c r="AW12" s="33">
        <f t="shared" si="3"/>
        <v>1.3819264570580931E-2</v>
      </c>
      <c r="AX12" s="7">
        <f t="shared" si="9"/>
        <v>173912.88506331024</v>
      </c>
      <c r="AY12" s="7">
        <f>AX12/'2. Diesel-battery-storage'!$L39</f>
        <v>95.500211366181816</v>
      </c>
      <c r="AZ12" s="7"/>
      <c r="BC12" s="4" t="s">
        <v>55</v>
      </c>
      <c r="BD12" s="7">
        <v>116.757254</v>
      </c>
      <c r="BE12" s="7"/>
      <c r="BF12" s="1"/>
      <c r="BG12" s="4" t="s">
        <v>27</v>
      </c>
      <c r="BH12" s="9">
        <v>250</v>
      </c>
      <c r="BI12" s="9">
        <f t="shared" si="10"/>
        <v>1000</v>
      </c>
      <c r="BK12" s="4" t="s">
        <v>17</v>
      </c>
      <c r="BL12" s="7">
        <v>105.071048</v>
      </c>
      <c r="BM12" s="20">
        <f>(BL12-'0. Current system'!$G12)/'0. Current system'!$G12</f>
        <v>-0.43420185668144806</v>
      </c>
      <c r="BN12" s="21">
        <f>(BL12-'2. Diesel-battery-storage'!$G12)/'2. Diesel-battery-storage'!$G12</f>
        <v>0.13185198686409841</v>
      </c>
      <c r="BO12" s="35">
        <f>(BL12-'2''. Storage - some with diesel'!$AK12)/'2''. Storage - some with diesel'!$AK12</f>
        <v>-1.8386574905956524E-2</v>
      </c>
      <c r="BP12" s="33">
        <f t="shared" si="4"/>
        <v>0.27523643706061546</v>
      </c>
      <c r="BQ12" s="7">
        <f t="shared" si="11"/>
        <v>203731.27163918412</v>
      </c>
      <c r="BR12" s="7">
        <f>BQ12/'2. Diesel-battery-storage'!$L39</f>
        <v>111.87428404951307</v>
      </c>
      <c r="BV12" s="4" t="s">
        <v>55</v>
      </c>
      <c r="BW12" s="7">
        <v>164.71201500000001</v>
      </c>
      <c r="BX12" s="7"/>
      <c r="BY12" s="1"/>
      <c r="BZ12" s="4" t="s">
        <v>27</v>
      </c>
      <c r="CA12" s="7">
        <v>225.69088600000001</v>
      </c>
      <c r="CB12" s="9">
        <f t="shared" si="5"/>
        <v>1354.1453160000001</v>
      </c>
      <c r="CD12" s="4" t="s">
        <v>17</v>
      </c>
      <c r="CE12" s="7">
        <v>81.492801999999998</v>
      </c>
      <c r="CF12" s="20">
        <f>(CE12-'0. Current system'!$G12)/'0. Current system'!$G12</f>
        <v>-0.56116859074798253</v>
      </c>
      <c r="CG12" s="21">
        <f>(CE12-'2. Diesel-battery-storage'!$G12)/'2. Diesel-battery-storage'!$G12</f>
        <v>-0.12213886113687031</v>
      </c>
      <c r="CH12" s="35">
        <f>(CE12-'2''. Storage - some with diesel'!$AK12)/'2''. Storage - some with diesel'!$AK12</f>
        <v>-0.23866345663811489</v>
      </c>
      <c r="CI12" s="33">
        <f t="shared" si="6"/>
        <v>-1.093029481759627E-2</v>
      </c>
      <c r="CJ12">
        <f t="shared" si="12"/>
        <v>151305.8032341522</v>
      </c>
      <c r="CO12" s="4" t="s">
        <v>57</v>
      </c>
      <c r="CP12">
        <v>110.60742500000001</v>
      </c>
      <c r="CR12" s="1"/>
    </row>
    <row r="13" spans="1:96">
      <c r="A13" s="1"/>
      <c r="B13" s="4" t="s">
        <v>22</v>
      </c>
      <c r="C13" s="9">
        <v>29.535903999999999</v>
      </c>
      <c r="D13" s="9">
        <f t="shared" si="7"/>
        <v>118.14361599999999</v>
      </c>
      <c r="F13" s="4" t="s">
        <v>18</v>
      </c>
      <c r="G13" s="7">
        <v>114.82123300000001</v>
      </c>
      <c r="H13" s="20">
        <f>(G13-'0. Current system'!$G13)/'0. Current system'!$G13</f>
        <v>-0.41975814584589777</v>
      </c>
      <c r="I13" s="21">
        <f>(G13-'2. Diesel-battery-storage'!$G13)/'2. Diesel-battery-storage'!$G13</f>
        <v>0.13563202554739112</v>
      </c>
      <c r="J13" s="35">
        <f>(G13-'2''. Storage - some with diesel'!$AK13)/'2''. Storage - some with diesel'!$AK13</f>
        <v>-5.6590612105981541E-2</v>
      </c>
      <c r="K13" s="52"/>
      <c r="L13" s="7">
        <f t="shared" si="0"/>
        <v>31949.619390494496</v>
      </c>
      <c r="M13" s="7">
        <f>L13/'2. Diesel-battery-storage'!$L40</f>
        <v>116.95323989223517</v>
      </c>
      <c r="Q13" s="4" t="s">
        <v>62</v>
      </c>
      <c r="R13" s="7">
        <v>20.257697</v>
      </c>
      <c r="S13" s="7"/>
      <c r="T13" s="1"/>
      <c r="U13" s="4" t="s">
        <v>22</v>
      </c>
      <c r="V13" s="7">
        <v>19.949244</v>
      </c>
      <c r="W13" s="9">
        <f t="shared" si="1"/>
        <v>119.695464</v>
      </c>
      <c r="Y13" s="4" t="s">
        <v>18</v>
      </c>
      <c r="Z13" s="7">
        <v>114.567359</v>
      </c>
      <c r="AA13" s="20">
        <f>(Z13-'0. Current system'!$G13)/'0. Current system'!$G13</f>
        <v>-0.42104108208192931</v>
      </c>
      <c r="AB13" s="21">
        <f>(Z13-'2. Diesel-battery-storage'!$BE13)/'2. Diesel-battery-storage'!$BE13</f>
        <v>0.15506521737070195</v>
      </c>
      <c r="AC13" s="35">
        <f>(Z13-'2''. Storage - some with diesel'!$AK13)/'2''. Storage - some with diesel'!$AK13</f>
        <v>-5.8676525213552995E-2</v>
      </c>
      <c r="AE13" s="7">
        <f t="shared" si="8"/>
        <v>31909.845711039405</v>
      </c>
      <c r="AF13" s="7">
        <f>AE13/'2. Diesel-battery-storage'!$L40</f>
        <v>116.80764627442538</v>
      </c>
      <c r="AJ13" s="4" t="s">
        <v>62</v>
      </c>
      <c r="AK13">
        <v>20.121587000000002</v>
      </c>
      <c r="AM13" s="1"/>
      <c r="AN13" s="4" t="s">
        <v>22</v>
      </c>
      <c r="AO13" s="9">
        <v>16.745598000000001</v>
      </c>
      <c r="AP13" s="9">
        <f t="shared" si="2"/>
        <v>133.96478400000001</v>
      </c>
      <c r="AR13" s="4" t="s">
        <v>18</v>
      </c>
      <c r="AS13" s="7">
        <v>115.30063</v>
      </c>
      <c r="AT13" s="20">
        <f>(AS13-'0. Current system'!$G13)/'0. Current system'!$G13</f>
        <v>-0.41733554336299367</v>
      </c>
      <c r="AU13" s="21">
        <f>(AS13-'2. Diesel-battery-storage'!$G13)/'2. Diesel-battery-storage'!$G13</f>
        <v>0.14037347076555329</v>
      </c>
      <c r="AV13" s="35">
        <f>(AS13-'2''. Storage - some with diesel'!$AK13)/'2''. Storage - some with diesel'!$AK13</f>
        <v>-5.2651727123547841E-2</v>
      </c>
      <c r="AW13" s="33">
        <f t="shared" si="3"/>
        <v>4.1751598330248864E-3</v>
      </c>
      <c r="AX13" s="7">
        <f t="shared" si="9"/>
        <v>32001.393303279638</v>
      </c>
      <c r="AY13" s="7">
        <f>AX13/'2. Diesel-battery-storage'!$L40</f>
        <v>117.14276098693472</v>
      </c>
      <c r="AZ13" s="7"/>
      <c r="BC13" s="4" t="s">
        <v>62</v>
      </c>
      <c r="BD13" s="7">
        <v>17.236153000000002</v>
      </c>
      <c r="BE13" s="7"/>
      <c r="BF13" s="1"/>
      <c r="BG13" s="4" t="s">
        <v>22</v>
      </c>
      <c r="BH13" s="9">
        <v>29.039266999999999</v>
      </c>
      <c r="BI13" s="9">
        <f t="shared" si="10"/>
        <v>116.157068</v>
      </c>
      <c r="BK13" s="4" t="s">
        <v>18</v>
      </c>
      <c r="BL13" s="7">
        <v>119.84198499999999</v>
      </c>
      <c r="BM13" s="20">
        <f>(BL13-'0. Current system'!$G13)/'0. Current system'!$G13</f>
        <v>-0.39438609249294421</v>
      </c>
      <c r="BN13" s="21">
        <f>(BL13-'2. Diesel-battery-storage'!$G13)/'2. Diesel-battery-storage'!$G13</f>
        <v>0.18528945052497431</v>
      </c>
      <c r="BO13" s="35">
        <f>(BL13-'2''. Storage - some with diesel'!$AK13)/'2''. Storage - some with diesel'!$AK13</f>
        <v>-1.5338446044608062E-2</v>
      </c>
      <c r="BP13" s="33">
        <f t="shared" si="4"/>
        <v>4.3726685986728492E-2</v>
      </c>
      <c r="BQ13" s="7">
        <f t="shared" si="11"/>
        <v>32800.277079765357</v>
      </c>
      <c r="BR13" s="7">
        <f>BQ13/'2. Diesel-battery-storage'!$L40</f>
        <v>120.06711651103048</v>
      </c>
      <c r="BV13" s="4" t="s">
        <v>62</v>
      </c>
      <c r="BW13" s="7">
        <v>7.2949219999999997</v>
      </c>
      <c r="BX13" s="7"/>
      <c r="BY13" s="1"/>
      <c r="BZ13" s="4" t="s">
        <v>22</v>
      </c>
      <c r="CA13" s="7">
        <v>35.144083999999999</v>
      </c>
      <c r="CB13" s="9">
        <f t="shared" si="5"/>
        <v>210.86450400000001</v>
      </c>
      <c r="CD13" s="4" t="s">
        <v>18</v>
      </c>
      <c r="CE13" s="7">
        <v>109.147051</v>
      </c>
      <c r="CF13" s="20">
        <f>(CE13-'0. Current system'!$G13)/'0. Current system'!$G13</f>
        <v>-0.44843226646336082</v>
      </c>
      <c r="CG13" s="21">
        <f>(CE13-'2. Diesel-battery-storage'!$G13)/'2. Diesel-battery-storage'!$G13</f>
        <v>7.9511893150062227E-2</v>
      </c>
      <c r="CH13" s="35">
        <f>(CE13-'2''. Storage - some with diesel'!$AK13)/'2''. Storage - some with diesel'!$AK13</f>
        <v>-0.10321157608238528</v>
      </c>
      <c r="CI13" s="33">
        <f t="shared" si="6"/>
        <v>-4.9417532382708358E-2</v>
      </c>
      <c r="CJ13">
        <f t="shared" si="12"/>
        <v>30330.26758137465</v>
      </c>
      <c r="CO13" s="4" t="s">
        <v>58</v>
      </c>
      <c r="CP13">
        <v>13.229564999999999</v>
      </c>
      <c r="CR13" s="1"/>
    </row>
    <row r="14" spans="1:96">
      <c r="A14" s="1"/>
      <c r="B14" s="4" t="s">
        <v>30</v>
      </c>
      <c r="C14" s="9">
        <v>19.394155999999999</v>
      </c>
      <c r="D14" s="9">
        <f t="shared" si="7"/>
        <v>77.576623999999995</v>
      </c>
      <c r="F14" s="4" t="s">
        <v>19</v>
      </c>
      <c r="G14" s="7">
        <v>59.855046000000002</v>
      </c>
      <c r="H14" s="20">
        <f>(G14-'0. Current system'!$G14)/'0. Current system'!$G14</f>
        <v>-0.61925842156882493</v>
      </c>
      <c r="I14" s="21">
        <f>(G14-'2. Diesel-battery-storage'!$G14)/'2. Diesel-battery-storage'!$G14</f>
        <v>0.1560656975474487</v>
      </c>
      <c r="J14" s="35">
        <f>(G14-'2''. Storage - some with diesel'!$AK14)/'2''. Storage - some with diesel'!$AK14</f>
        <v>-0.232412277505851</v>
      </c>
      <c r="K14" s="52"/>
      <c r="L14" s="7">
        <f t="shared" si="0"/>
        <v>11781.387336881173</v>
      </c>
      <c r="M14" s="7">
        <f>L14/'2. Diesel-battery-storage'!$L41</f>
        <v>64.691452272232027</v>
      </c>
      <c r="Q14" s="4" t="s">
        <v>63</v>
      </c>
      <c r="R14" s="7">
        <v>12.616934000000001</v>
      </c>
      <c r="S14" s="7"/>
      <c r="T14" s="1"/>
      <c r="U14" s="4" t="s">
        <v>30</v>
      </c>
      <c r="V14" s="7">
        <v>12.928107000000001</v>
      </c>
      <c r="W14" s="9">
        <f t="shared" si="1"/>
        <v>77.568642000000011</v>
      </c>
      <c r="Y14" s="4" t="s">
        <v>19</v>
      </c>
      <c r="Z14" s="7">
        <v>59.723376000000002</v>
      </c>
      <c r="AA14" s="20">
        <f>(Z14-'0. Current system'!$G14)/'0. Current system'!$G14</f>
        <v>-0.62009598242596697</v>
      </c>
      <c r="AB14" s="21">
        <f>(Z14-'2. Diesel-battery-storage'!$BE14)/'2. Diesel-battery-storage'!$BE14</f>
        <v>0.15637558318927872</v>
      </c>
      <c r="AC14" s="35">
        <f>(Z14-'2''. Storage - some with diesel'!$AK14)/'2''. Storage - some with diesel'!$AK14</f>
        <v>-0.23410082813232289</v>
      </c>
      <c r="AE14" s="7">
        <f t="shared" si="8"/>
        <v>11755.824211367279</v>
      </c>
      <c r="AF14" s="7">
        <f>AE14/'2. Diesel-battery-storage'!$L41</f>
        <v>64.55108546594478</v>
      </c>
      <c r="AJ14" s="4" t="s">
        <v>63</v>
      </c>
      <c r="AK14">
        <v>12.607766</v>
      </c>
      <c r="AM14" s="1"/>
      <c r="AN14" s="4" t="s">
        <v>30</v>
      </c>
      <c r="AO14" s="9">
        <v>11.947602</v>
      </c>
      <c r="AP14" s="9">
        <f t="shared" si="2"/>
        <v>95.580815999999999</v>
      </c>
      <c r="AR14" s="4" t="s">
        <v>19</v>
      </c>
      <c r="AS14" s="7">
        <v>60.134906000000001</v>
      </c>
      <c r="AT14" s="20">
        <f>(AS14-'0. Current system'!$G14)/'0. Current system'!$G14</f>
        <v>-0.61747821513243284</v>
      </c>
      <c r="AU14" s="21">
        <f>(AS14-'2. Diesel-battery-storage'!$G14)/'2. Diesel-battery-storage'!$G14</f>
        <v>0.16147103206370031</v>
      </c>
      <c r="AV14" s="35">
        <f>(AS14-'2''. Storage - some with diesel'!$AK14)/'2''. Storage - some with diesel'!$AK14</f>
        <v>-0.2288233219478315</v>
      </c>
      <c r="AW14" s="33">
        <f t="shared" si="3"/>
        <v>4.6756291858834984E-3</v>
      </c>
      <c r="AX14" s="7">
        <f t="shared" si="9"/>
        <v>11778.254930166971</v>
      </c>
      <c r="AY14" s="7">
        <f>AX14/'2. Diesel-battery-storage'!$L41</f>
        <v>64.674252265674696</v>
      </c>
      <c r="AZ14" s="7"/>
      <c r="BC14" s="4" t="s">
        <v>63</v>
      </c>
      <c r="BD14" s="7">
        <v>10.468424000000001</v>
      </c>
      <c r="BE14" s="7"/>
      <c r="BF14" s="1"/>
      <c r="BG14" s="4" t="s">
        <v>30</v>
      </c>
      <c r="BH14" s="9">
        <v>30</v>
      </c>
      <c r="BI14" s="9">
        <f t="shared" si="10"/>
        <v>120</v>
      </c>
      <c r="BK14" s="4" t="s">
        <v>19</v>
      </c>
      <c r="BL14" s="7">
        <v>74.856256000000002</v>
      </c>
      <c r="BM14" s="20">
        <f>(BL14-'0. Current system'!$G14)/'0. Current system'!$G14</f>
        <v>-0.52383481478089389</v>
      </c>
      <c r="BN14" s="21">
        <f>(BL14-'2. Diesel-battery-storage'!$G14)/'2. Diesel-battery-storage'!$G14</f>
        <v>0.44580541811680158</v>
      </c>
      <c r="BO14" s="35">
        <f>(BL14-'2''. Storage - some with diesel'!$AK14)/'2''. Storage - some with diesel'!$AK14</f>
        <v>-4.0035103181125672E-2</v>
      </c>
      <c r="BP14" s="33">
        <f t="shared" si="4"/>
        <v>0.25062565318218955</v>
      </c>
      <c r="BQ14" s="7">
        <f t="shared" si="11"/>
        <v>13856.636457934594</v>
      </c>
      <c r="BR14" s="7">
        <f>BQ14/'2. Diesel-battery-storage'!$L41</f>
        <v>76.086619549972895</v>
      </c>
      <c r="BV14" s="4" t="s">
        <v>63</v>
      </c>
      <c r="BW14" s="7">
        <v>6.9247370000000004</v>
      </c>
      <c r="BX14" s="7"/>
      <c r="BY14" s="1"/>
      <c r="BZ14" s="4" t="s">
        <v>30</v>
      </c>
      <c r="CA14" s="7">
        <v>16.804020000000001</v>
      </c>
      <c r="CB14" s="9">
        <f t="shared" si="5"/>
        <v>100.82412000000001</v>
      </c>
      <c r="CD14" s="4" t="s">
        <v>19</v>
      </c>
      <c r="CE14" s="7">
        <v>58.605752000000003</v>
      </c>
      <c r="CF14" s="20">
        <f>(CE14-'0. Current system'!$G14)/'0. Current system'!$G14</f>
        <v>-0.62720525648537651</v>
      </c>
      <c r="CG14" s="21">
        <f>(CE14-'2. Diesel-battery-storage'!$G14)/'2. Diesel-battery-storage'!$G14</f>
        <v>0.13193630435390172</v>
      </c>
      <c r="CH14" s="35">
        <f>(CE14-'2''. Storage - some with diesel'!$AK14)/'2''. Storage - some with diesel'!$AK14</f>
        <v>-0.24843336177977512</v>
      </c>
      <c r="CI14" s="33">
        <f t="shared" si="6"/>
        <v>-2.0871991310473622E-2</v>
      </c>
      <c r="CJ14">
        <f t="shared" si="12"/>
        <v>10864.798404710089</v>
      </c>
      <c r="CO14" s="4" t="s">
        <v>59</v>
      </c>
      <c r="CP14">
        <v>26.733532</v>
      </c>
      <c r="CR14" s="1"/>
    </row>
    <row r="15" spans="1:96">
      <c r="A15" s="1"/>
      <c r="L15" s="7"/>
      <c r="M15" s="7"/>
      <c r="Q15" s="4" t="s">
        <v>58</v>
      </c>
      <c r="R15" s="7">
        <v>55.417943999999999</v>
      </c>
      <c r="S15" s="7"/>
      <c r="T15" s="1"/>
      <c r="AE15" s="7"/>
      <c r="AF15" s="7"/>
      <c r="AJ15" s="4" t="s">
        <v>58</v>
      </c>
      <c r="AK15">
        <v>51.809128999999999</v>
      </c>
      <c r="AM15" s="1"/>
      <c r="AX15" s="7"/>
      <c r="AY15" s="7"/>
      <c r="AZ15" s="7"/>
      <c r="BC15" s="4" t="s">
        <v>58</v>
      </c>
      <c r="BD15" s="7">
        <v>59.193167000000003</v>
      </c>
      <c r="BE15" s="7"/>
      <c r="BF15" s="1"/>
      <c r="BQ15" s="7"/>
      <c r="BR15" s="7"/>
      <c r="BV15" s="4" t="s">
        <v>58</v>
      </c>
      <c r="BW15" s="7">
        <v>15.611986</v>
      </c>
      <c r="BX15" s="7"/>
      <c r="BY15" s="1"/>
      <c r="CO15" s="4" t="s">
        <v>60</v>
      </c>
      <c r="CP15">
        <v>3.4244970000000001</v>
      </c>
      <c r="CR15" s="1"/>
    </row>
    <row r="16" spans="1:96">
      <c r="A16" s="1"/>
      <c r="B16" t="s">
        <v>20</v>
      </c>
      <c r="L16" s="7">
        <f>SUM(L5:L14)/SUM(L32:L41)</f>
        <v>88.380086789007052</v>
      </c>
      <c r="M16" s="7">
        <f>SUM(L5:L14)/SUM('2. Diesel-battery-storage'!$L32:$L41)</f>
        <v>104.80510417731271</v>
      </c>
      <c r="Q16" s="4" t="s">
        <v>59</v>
      </c>
      <c r="R16" s="7">
        <v>39.359659999999998</v>
      </c>
      <c r="S16" s="7"/>
      <c r="T16" s="1"/>
      <c r="U16" t="s">
        <v>20</v>
      </c>
      <c r="AE16" s="7">
        <f>SUM(AE5:AE14)/SUM(AE32:AE41)</f>
        <v>88.90455007668119</v>
      </c>
      <c r="AF16" s="7">
        <f>SUM(AE5:AE14)/SUM('2. Diesel-battery-storage'!$L32:$L41)</f>
        <v>102.48485734679812</v>
      </c>
      <c r="AJ16" s="4" t="s">
        <v>59</v>
      </c>
      <c r="AK16">
        <v>39.538600000000002</v>
      </c>
      <c r="AM16" s="1"/>
      <c r="AN16" t="s">
        <v>20</v>
      </c>
      <c r="AX16" s="7">
        <f>SUM(AX5:AX14)/SUM(AX32:AX41)</f>
        <v>89.523377116727431</v>
      </c>
      <c r="AY16" s="7">
        <f>SUM(AX5:AX14)/SUM('2. Diesel-battery-storage'!$L32:$L41)</f>
        <v>103.22540091667432</v>
      </c>
      <c r="AZ16" s="7"/>
      <c r="BC16" s="4" t="s">
        <v>59</v>
      </c>
      <c r="BD16" s="7">
        <v>38.14517</v>
      </c>
      <c r="BE16" s="7"/>
      <c r="BF16" s="1"/>
      <c r="BG16" t="s">
        <v>20</v>
      </c>
      <c r="BQ16" s="7">
        <f>SUM(BQ5:BQ14)/SUM(BQ32:BQ41)</f>
        <v>111.58743286458032</v>
      </c>
      <c r="BR16" s="7">
        <f>SUM(BQ5:BQ14)/SUM('2. Diesel-battery-storage'!$L32:$L41)</f>
        <v>125.67283999534638</v>
      </c>
      <c r="BV16" s="4" t="s">
        <v>59</v>
      </c>
      <c r="BW16" s="7">
        <v>21.670995000000001</v>
      </c>
      <c r="BX16" s="7"/>
      <c r="BY16" s="1"/>
      <c r="BZ16" t="s">
        <v>20</v>
      </c>
      <c r="CJ16">
        <f>SUM(CJ5:CJ14)/SUM(CJ32:CJ41)</f>
        <v>88.886642206077539</v>
      </c>
      <c r="CO16" s="4" t="s">
        <v>61</v>
      </c>
      <c r="CP16">
        <v>5.6423800000000002</v>
      </c>
      <c r="CR16" s="1"/>
    </row>
    <row r="17" spans="1:96" ht="29.5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/>
      <c r="Q17" s="4" t="s">
        <v>66</v>
      </c>
      <c r="R17" s="7">
        <v>0.36950100000000002</v>
      </c>
      <c r="S17" s="7"/>
      <c r="T17" s="1"/>
      <c r="U17" s="2" t="s">
        <v>0</v>
      </c>
      <c r="V17" s="2" t="s">
        <v>1</v>
      </c>
      <c r="W17" s="2" t="s">
        <v>2</v>
      </c>
      <c r="X17" s="2" t="s">
        <v>3</v>
      </c>
      <c r="Y17" s="2" t="s">
        <v>4</v>
      </c>
      <c r="Z17" s="2" t="s">
        <v>5</v>
      </c>
      <c r="AA17" s="2" t="s">
        <v>6</v>
      </c>
      <c r="AB17" s="2" t="s">
        <v>7</v>
      </c>
      <c r="AJ17" s="4" t="s">
        <v>66</v>
      </c>
      <c r="AK17">
        <v>0.35708000000000001</v>
      </c>
      <c r="AM17" s="1"/>
      <c r="AN17" s="2" t="s">
        <v>0</v>
      </c>
      <c r="AO17" s="2" t="s">
        <v>1</v>
      </c>
      <c r="AP17" s="2" t="s">
        <v>2</v>
      </c>
      <c r="AQ17" s="2" t="s">
        <v>3</v>
      </c>
      <c r="AR17" s="2" t="s">
        <v>4</v>
      </c>
      <c r="AS17" s="2" t="s">
        <v>5</v>
      </c>
      <c r="AT17" s="2" t="s">
        <v>6</v>
      </c>
      <c r="AU17" s="2" t="s">
        <v>7</v>
      </c>
      <c r="AV17" s="10"/>
      <c r="BC17" s="4" t="s">
        <v>66</v>
      </c>
      <c r="BD17" s="7">
        <v>0.312226</v>
      </c>
      <c r="BE17" s="7"/>
      <c r="BF17" s="1"/>
      <c r="BG17" s="2" t="s">
        <v>0</v>
      </c>
      <c r="BH17" s="2" t="s">
        <v>1</v>
      </c>
      <c r="BI17" s="2" t="s">
        <v>2</v>
      </c>
      <c r="BJ17" s="2" t="s">
        <v>3</v>
      </c>
      <c r="BK17" s="2" t="s">
        <v>4</v>
      </c>
      <c r="BL17" s="2" t="s">
        <v>5</v>
      </c>
      <c r="BM17" s="2" t="s">
        <v>6</v>
      </c>
      <c r="BN17" s="2" t="s">
        <v>7</v>
      </c>
      <c r="BO17" s="10"/>
      <c r="BV17" s="4" t="s">
        <v>66</v>
      </c>
      <c r="BW17" s="7">
        <v>3.5463000000000001E-2</v>
      </c>
      <c r="BX17" s="7"/>
      <c r="BY17" s="1"/>
      <c r="BZ17" s="2" t="s">
        <v>0</v>
      </c>
      <c r="CA17" s="2" t="s">
        <v>1</v>
      </c>
      <c r="CB17" s="2" t="s">
        <v>2</v>
      </c>
      <c r="CC17" s="2" t="s">
        <v>3</v>
      </c>
      <c r="CD17" s="2" t="s">
        <v>4</v>
      </c>
      <c r="CE17" s="2" t="s">
        <v>5</v>
      </c>
      <c r="CF17" s="2" t="s">
        <v>6</v>
      </c>
      <c r="CG17" s="2" t="s">
        <v>7</v>
      </c>
      <c r="CO17" s="4" t="s">
        <v>62</v>
      </c>
      <c r="CP17">
        <v>3.1519569999999999</v>
      </c>
      <c r="CR17" s="1"/>
    </row>
    <row r="18" spans="1:96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Q18" s="4" t="s">
        <v>67</v>
      </c>
      <c r="R18" s="7">
        <v>0.38890400000000003</v>
      </c>
      <c r="S18" s="7"/>
      <c r="T18" s="1"/>
      <c r="U18" s="2" t="s">
        <v>8</v>
      </c>
      <c r="V18" s="2"/>
      <c r="W18" s="2"/>
      <c r="X18" s="2"/>
      <c r="Y18" s="2"/>
      <c r="Z18" s="2"/>
      <c r="AA18" s="2"/>
      <c r="AB18" s="2"/>
      <c r="AJ18" s="4" t="s">
        <v>67</v>
      </c>
      <c r="AK18">
        <v>0.39961999999999998</v>
      </c>
      <c r="AM18" s="1"/>
      <c r="AN18" s="2" t="s">
        <v>8</v>
      </c>
      <c r="AO18" s="2"/>
      <c r="AP18" s="2"/>
      <c r="AQ18" s="2"/>
      <c r="AR18" s="2"/>
      <c r="AS18" s="2"/>
      <c r="AT18" s="2"/>
      <c r="AU18" s="2"/>
      <c r="AV18" s="10"/>
      <c r="BC18" s="4" t="s">
        <v>67</v>
      </c>
      <c r="BD18" s="7">
        <v>0.34485199999999999</v>
      </c>
      <c r="BE18" s="7"/>
      <c r="BF18" s="1"/>
      <c r="BG18" s="2" t="s">
        <v>8</v>
      </c>
      <c r="BH18" s="2"/>
      <c r="BI18" s="2"/>
      <c r="BJ18" s="2"/>
      <c r="BK18" s="2"/>
      <c r="BL18" s="2"/>
      <c r="BM18" s="2"/>
      <c r="BN18" s="2"/>
      <c r="BO18" s="10"/>
      <c r="BV18" s="4" t="s">
        <v>67</v>
      </c>
      <c r="BW18" s="7">
        <v>0.18567500000000001</v>
      </c>
      <c r="BX18" s="7"/>
      <c r="BY18" s="1"/>
      <c r="BZ18" s="2" t="s">
        <v>8</v>
      </c>
      <c r="CA18" s="2"/>
      <c r="CB18" s="2"/>
      <c r="CC18" s="2"/>
      <c r="CD18" s="2"/>
      <c r="CE18" s="2"/>
      <c r="CF18" s="2"/>
      <c r="CG18" s="2"/>
      <c r="CO18" s="4" t="s">
        <v>63</v>
      </c>
      <c r="CP18">
        <v>14.217235000000001</v>
      </c>
      <c r="CR18" s="1"/>
    </row>
    <row r="19" spans="1:96">
      <c r="A19" s="1"/>
      <c r="B19" s="2" t="s">
        <v>9</v>
      </c>
      <c r="C19" s="3" t="s">
        <v>10</v>
      </c>
      <c r="D19" s="3" t="s">
        <v>10</v>
      </c>
      <c r="E19" s="3">
        <v>0</v>
      </c>
      <c r="F19" s="3" t="s">
        <v>10</v>
      </c>
      <c r="G19" s="3" t="s">
        <v>10</v>
      </c>
      <c r="H19" s="19">
        <v>167.15486899999999</v>
      </c>
      <c r="I19" s="19">
        <v>100</v>
      </c>
      <c r="J19" s="11"/>
      <c r="Q19" s="4" t="s">
        <v>56</v>
      </c>
      <c r="R19" s="7">
        <v>150.783489</v>
      </c>
      <c r="S19" s="7"/>
      <c r="T19" s="1"/>
      <c r="U19" s="2" t="s">
        <v>9</v>
      </c>
      <c r="V19" s="3" t="s">
        <v>10</v>
      </c>
      <c r="W19" s="3" t="s">
        <v>10</v>
      </c>
      <c r="X19" s="3">
        <v>0</v>
      </c>
      <c r="Y19" s="3" t="s">
        <v>10</v>
      </c>
      <c r="Z19" s="3" t="s">
        <v>10</v>
      </c>
      <c r="AA19" s="19">
        <v>186.65907100000001</v>
      </c>
      <c r="AB19" s="19">
        <v>83.575174000000004</v>
      </c>
      <c r="AJ19" s="4" t="s">
        <v>56</v>
      </c>
      <c r="AK19">
        <v>132.02301800000001</v>
      </c>
      <c r="AM19" s="1"/>
      <c r="AN19" s="2" t="s">
        <v>9</v>
      </c>
      <c r="AO19" s="3" t="s">
        <v>10</v>
      </c>
      <c r="AP19" s="3" t="s">
        <v>10</v>
      </c>
      <c r="AQ19" s="3">
        <v>0</v>
      </c>
      <c r="AR19" s="3" t="s">
        <v>10</v>
      </c>
      <c r="AS19" s="3" t="s">
        <v>10</v>
      </c>
      <c r="AT19" s="19">
        <v>182.03899000000001</v>
      </c>
      <c r="AU19" s="19">
        <v>82.390315999999999</v>
      </c>
      <c r="AV19" s="11"/>
      <c r="BC19" s="4" t="s">
        <v>56</v>
      </c>
      <c r="BD19" s="7">
        <v>133.43726899999999</v>
      </c>
      <c r="BE19" s="7"/>
      <c r="BF19" s="1"/>
      <c r="BG19" s="2" t="s">
        <v>9</v>
      </c>
      <c r="BH19" s="3" t="s">
        <v>10</v>
      </c>
      <c r="BI19" s="3" t="s">
        <v>10</v>
      </c>
      <c r="BJ19" s="3">
        <v>0</v>
      </c>
      <c r="BK19" s="3" t="s">
        <v>10</v>
      </c>
      <c r="BL19" s="3" t="s">
        <v>10</v>
      </c>
      <c r="BM19" s="19">
        <v>167.15486899999999</v>
      </c>
      <c r="BN19" s="19">
        <v>100</v>
      </c>
      <c r="BO19" s="11"/>
      <c r="BV19" s="4" t="s">
        <v>56</v>
      </c>
      <c r="BW19" s="7">
        <v>81.862458000000004</v>
      </c>
      <c r="BX19" s="7"/>
      <c r="BY19" s="1"/>
      <c r="BZ19" s="2" t="s">
        <v>9</v>
      </c>
      <c r="CA19" s="3" t="s">
        <v>10</v>
      </c>
      <c r="CB19" s="3" t="s">
        <v>10</v>
      </c>
      <c r="CC19" s="3">
        <v>0</v>
      </c>
      <c r="CD19" s="3" t="s">
        <v>10</v>
      </c>
      <c r="CE19" s="3" t="s">
        <v>10</v>
      </c>
      <c r="CF19" s="3">
        <v>231.026253</v>
      </c>
      <c r="CG19" s="3">
        <v>100</v>
      </c>
      <c r="CO19" s="4" t="s">
        <v>64</v>
      </c>
      <c r="CP19">
        <v>4.2456189999999996</v>
      </c>
      <c r="CR19" s="1"/>
    </row>
    <row r="20" spans="1:96">
      <c r="A20" s="1"/>
      <c r="B20" s="2" t="s">
        <v>11</v>
      </c>
      <c r="C20" s="3">
        <v>10</v>
      </c>
      <c r="D20" s="3" t="s">
        <v>10</v>
      </c>
      <c r="E20" s="3">
        <v>0</v>
      </c>
      <c r="F20" s="3" t="s">
        <v>10</v>
      </c>
      <c r="G20" s="3" t="s">
        <v>10</v>
      </c>
      <c r="H20" s="19">
        <v>545.11089600000003</v>
      </c>
      <c r="I20" s="19">
        <v>150</v>
      </c>
      <c r="J20" s="11"/>
      <c r="Q20" s="4" t="s">
        <v>57</v>
      </c>
      <c r="R20" s="7">
        <v>141.375023</v>
      </c>
      <c r="S20" s="7"/>
      <c r="T20" s="1"/>
      <c r="U20" s="2" t="s">
        <v>11</v>
      </c>
      <c r="V20" s="3">
        <v>10</v>
      </c>
      <c r="W20" s="3" t="s">
        <v>10</v>
      </c>
      <c r="X20" s="3">
        <v>0</v>
      </c>
      <c r="Y20" s="3" t="s">
        <v>10</v>
      </c>
      <c r="Z20" s="3" t="s">
        <v>10</v>
      </c>
      <c r="AA20" s="19">
        <v>515.21883400000002</v>
      </c>
      <c r="AB20" s="19">
        <v>150</v>
      </c>
      <c r="AJ20" s="4" t="s">
        <v>57</v>
      </c>
      <c r="AK20">
        <v>141.39966999999999</v>
      </c>
      <c r="AM20" s="1"/>
      <c r="AN20" s="2" t="s">
        <v>11</v>
      </c>
      <c r="AO20" s="3">
        <v>10</v>
      </c>
      <c r="AP20" s="3" t="s">
        <v>10</v>
      </c>
      <c r="AQ20" s="3">
        <v>0</v>
      </c>
      <c r="AR20" s="3" t="s">
        <v>10</v>
      </c>
      <c r="AS20" s="3" t="s">
        <v>10</v>
      </c>
      <c r="AT20" s="19">
        <v>504.037736</v>
      </c>
      <c r="AU20" s="19">
        <v>150</v>
      </c>
      <c r="AV20" s="11"/>
      <c r="BC20" s="4" t="s">
        <v>57</v>
      </c>
      <c r="BD20" s="7">
        <v>127.119615</v>
      </c>
      <c r="BE20" s="7"/>
      <c r="BF20" s="1"/>
      <c r="BG20" s="2" t="s">
        <v>11</v>
      </c>
      <c r="BH20" s="3">
        <v>10</v>
      </c>
      <c r="BI20" s="3" t="s">
        <v>10</v>
      </c>
      <c r="BJ20" s="3">
        <v>0</v>
      </c>
      <c r="BK20" s="3" t="s">
        <v>10</v>
      </c>
      <c r="BL20" s="3" t="s">
        <v>10</v>
      </c>
      <c r="BM20" s="19">
        <v>545.11089600000003</v>
      </c>
      <c r="BN20" s="19">
        <v>150</v>
      </c>
      <c r="BO20" s="11"/>
      <c r="BV20" s="4" t="s">
        <v>57</v>
      </c>
      <c r="BW20" s="7">
        <v>108.289995</v>
      </c>
      <c r="BX20" s="7"/>
      <c r="BY20" s="1"/>
      <c r="BZ20" s="2" t="s">
        <v>11</v>
      </c>
      <c r="CA20" s="3">
        <v>10</v>
      </c>
      <c r="CB20" s="3" t="s">
        <v>10</v>
      </c>
      <c r="CC20" s="3">
        <v>0</v>
      </c>
      <c r="CD20" s="3" t="s">
        <v>10</v>
      </c>
      <c r="CE20" s="3" t="s">
        <v>10</v>
      </c>
      <c r="CF20" s="3">
        <v>570</v>
      </c>
      <c r="CG20" s="3">
        <v>150</v>
      </c>
      <c r="CO20" s="4" t="s">
        <v>65</v>
      </c>
      <c r="CP20">
        <v>17.132805000000001</v>
      </c>
      <c r="CR20" s="1"/>
    </row>
    <row r="21" spans="1:96">
      <c r="A21" s="1"/>
      <c r="B21" s="2" t="s">
        <v>12</v>
      </c>
      <c r="C21" s="3" t="s">
        <v>10</v>
      </c>
      <c r="D21" s="3" t="s">
        <v>10</v>
      </c>
      <c r="E21" s="3">
        <v>0</v>
      </c>
      <c r="F21" s="3">
        <v>15</v>
      </c>
      <c r="G21" s="3">
        <v>6.6</v>
      </c>
      <c r="H21" s="19">
        <v>0</v>
      </c>
      <c r="I21" s="19">
        <v>0</v>
      </c>
      <c r="J21" s="11"/>
      <c r="Q21" s="4" t="s">
        <v>64</v>
      </c>
      <c r="R21" s="7">
        <v>5.5496819999999998</v>
      </c>
      <c r="S21" s="7"/>
      <c r="T21" s="1"/>
      <c r="U21" s="2" t="s">
        <v>12</v>
      </c>
      <c r="V21" s="3" t="s">
        <v>10</v>
      </c>
      <c r="W21" s="3" t="s">
        <v>10</v>
      </c>
      <c r="X21" s="3">
        <v>0</v>
      </c>
      <c r="Y21" s="3">
        <v>15</v>
      </c>
      <c r="Z21" s="3">
        <v>6.6</v>
      </c>
      <c r="AA21" s="19">
        <v>0</v>
      </c>
      <c r="AB21" s="19">
        <v>0</v>
      </c>
      <c r="AJ21" s="4" t="s">
        <v>64</v>
      </c>
      <c r="AK21">
        <v>5.7320849999999997</v>
      </c>
      <c r="AM21" s="1"/>
      <c r="AN21" s="2" t="s">
        <v>12</v>
      </c>
      <c r="AO21" s="3" t="s">
        <v>10</v>
      </c>
      <c r="AP21" s="3" t="s">
        <v>10</v>
      </c>
      <c r="AQ21" s="3">
        <v>0</v>
      </c>
      <c r="AR21" s="3">
        <v>15</v>
      </c>
      <c r="AS21" s="3">
        <v>6.6</v>
      </c>
      <c r="AT21" s="19">
        <v>0</v>
      </c>
      <c r="AU21" s="19">
        <v>0</v>
      </c>
      <c r="AV21" s="11"/>
      <c r="BC21" s="4" t="s">
        <v>64</v>
      </c>
      <c r="BD21" s="7">
        <v>5.2728929999999998</v>
      </c>
      <c r="BE21" s="7"/>
      <c r="BF21" s="1"/>
      <c r="BG21" s="2" t="s">
        <v>12</v>
      </c>
      <c r="BH21" s="3" t="s">
        <v>10</v>
      </c>
      <c r="BI21" s="3" t="s">
        <v>10</v>
      </c>
      <c r="BJ21" s="3">
        <v>0</v>
      </c>
      <c r="BK21" s="3">
        <v>15</v>
      </c>
      <c r="BL21" s="3">
        <v>6.6</v>
      </c>
      <c r="BM21" s="19">
        <v>0</v>
      </c>
      <c r="BN21" s="19">
        <v>0</v>
      </c>
      <c r="BO21" s="11"/>
      <c r="BV21" s="4" t="s">
        <v>64</v>
      </c>
      <c r="BW21" s="7">
        <v>0.80281499999999995</v>
      </c>
      <c r="BX21" s="7"/>
      <c r="BY21" s="1"/>
      <c r="BZ21" s="2" t="s">
        <v>12</v>
      </c>
      <c r="CA21" s="3" t="s">
        <v>10</v>
      </c>
      <c r="CB21" s="3" t="s">
        <v>10</v>
      </c>
      <c r="CC21" s="3">
        <v>0</v>
      </c>
      <c r="CD21" s="3">
        <v>15</v>
      </c>
      <c r="CE21" s="3">
        <v>6.6</v>
      </c>
      <c r="CF21" s="3">
        <v>0</v>
      </c>
      <c r="CG21" s="3">
        <v>0</v>
      </c>
      <c r="CO21" s="4" t="s">
        <v>66</v>
      </c>
      <c r="CP21">
        <v>0.13433700000000001</v>
      </c>
      <c r="CR21" s="1"/>
    </row>
    <row r="22" spans="1:96">
      <c r="A22" s="1"/>
      <c r="B22" s="2" t="s">
        <v>13</v>
      </c>
      <c r="C22" s="3">
        <v>10</v>
      </c>
      <c r="D22" s="3">
        <v>0</v>
      </c>
      <c r="E22" s="3">
        <v>0</v>
      </c>
      <c r="F22" s="3">
        <v>50</v>
      </c>
      <c r="G22" s="3">
        <v>15</v>
      </c>
      <c r="H22" s="19">
        <v>501.56873400000001</v>
      </c>
      <c r="I22" s="19">
        <v>290.39001100000002</v>
      </c>
      <c r="J22" s="11"/>
      <c r="Q22" s="4" t="s">
        <v>65</v>
      </c>
      <c r="R22" s="7">
        <v>7.0642110000000002</v>
      </c>
      <c r="S22" s="7"/>
      <c r="T22" s="1"/>
      <c r="U22" s="2" t="s">
        <v>13</v>
      </c>
      <c r="V22" s="3">
        <v>10</v>
      </c>
      <c r="W22" s="3">
        <v>0</v>
      </c>
      <c r="X22" s="3">
        <v>0</v>
      </c>
      <c r="Y22" s="3">
        <v>50</v>
      </c>
      <c r="Z22" s="3">
        <v>15</v>
      </c>
      <c r="AA22" s="19">
        <v>742.96000200000003</v>
      </c>
      <c r="AB22" s="19">
        <v>174.04413700000001</v>
      </c>
      <c r="AJ22" s="4" t="s">
        <v>65</v>
      </c>
      <c r="AK22">
        <v>7.1000379999999996</v>
      </c>
      <c r="AM22" s="1"/>
      <c r="AN22" s="2" t="s">
        <v>13</v>
      </c>
      <c r="AO22" s="3">
        <v>10</v>
      </c>
      <c r="AP22" s="3">
        <v>0</v>
      </c>
      <c r="AQ22" s="3">
        <v>0</v>
      </c>
      <c r="AR22" s="3">
        <v>50</v>
      </c>
      <c r="AS22" s="3">
        <v>15</v>
      </c>
      <c r="AT22" s="19">
        <v>664.81025</v>
      </c>
      <c r="AU22" s="19">
        <v>219.60072600000001</v>
      </c>
      <c r="AV22" s="11"/>
      <c r="BC22" s="4" t="s">
        <v>65</v>
      </c>
      <c r="BD22" s="7">
        <v>6.1029660000000003</v>
      </c>
      <c r="BE22" s="7"/>
      <c r="BF22" s="1"/>
      <c r="BG22" s="2" t="s">
        <v>13</v>
      </c>
      <c r="BH22" s="3">
        <v>10</v>
      </c>
      <c r="BI22" s="3">
        <v>0</v>
      </c>
      <c r="BJ22" s="3">
        <v>0</v>
      </c>
      <c r="BK22" s="3">
        <v>50</v>
      </c>
      <c r="BL22" s="3">
        <v>15</v>
      </c>
      <c r="BM22" s="19">
        <v>532.01843699999995</v>
      </c>
      <c r="BN22" s="19">
        <v>243.383263</v>
      </c>
      <c r="BO22" s="11"/>
      <c r="BV22" s="4" t="s">
        <v>65</v>
      </c>
      <c r="BW22" s="7">
        <v>3.1352929999999999</v>
      </c>
      <c r="BX22" s="7"/>
      <c r="BY22" s="1"/>
      <c r="BZ22" s="2" t="s">
        <v>13</v>
      </c>
      <c r="CA22" s="3">
        <v>10</v>
      </c>
      <c r="CB22" s="3">
        <v>0</v>
      </c>
      <c r="CC22" s="3">
        <v>0</v>
      </c>
      <c r="CD22" s="3">
        <v>14.7</v>
      </c>
      <c r="CE22" s="3">
        <v>15</v>
      </c>
      <c r="CF22" s="3">
        <v>701.297822</v>
      </c>
      <c r="CG22" s="3">
        <v>513.52471500000001</v>
      </c>
      <c r="CO22" s="4" t="s">
        <v>67</v>
      </c>
      <c r="CP22">
        <v>0.52372600000000002</v>
      </c>
      <c r="CR22" s="1"/>
    </row>
    <row r="23" spans="1:96">
      <c r="A23" s="1"/>
      <c r="B23" s="2" t="s">
        <v>14</v>
      </c>
      <c r="C23" s="3" t="s">
        <v>10</v>
      </c>
      <c r="D23" s="3" t="s">
        <v>10</v>
      </c>
      <c r="E23" s="3">
        <v>0</v>
      </c>
      <c r="F23" s="19">
        <v>14.575637</v>
      </c>
      <c r="G23" s="3">
        <v>0</v>
      </c>
      <c r="H23" s="19">
        <v>39.136704000000002</v>
      </c>
      <c r="I23" s="19">
        <v>38.584271000000001</v>
      </c>
      <c r="J23" s="11"/>
      <c r="Q23" s="4" t="s">
        <v>60</v>
      </c>
      <c r="R23" s="7">
        <v>9.7102869999999992</v>
      </c>
      <c r="S23" s="7"/>
      <c r="T23" s="1"/>
      <c r="U23" s="2" t="s">
        <v>14</v>
      </c>
      <c r="V23" s="3" t="s">
        <v>10</v>
      </c>
      <c r="W23" s="3" t="s">
        <v>10</v>
      </c>
      <c r="X23" s="3">
        <v>0</v>
      </c>
      <c r="Y23" s="3">
        <v>14.551144000000001</v>
      </c>
      <c r="Z23" s="3">
        <v>0</v>
      </c>
      <c r="AA23" s="19">
        <v>39.219990000000003</v>
      </c>
      <c r="AB23" s="19">
        <v>38.570746</v>
      </c>
      <c r="AJ23" s="4" t="s">
        <v>60</v>
      </c>
      <c r="AK23">
        <v>9.7114849999999997</v>
      </c>
      <c r="AM23" s="1"/>
      <c r="AN23" s="2" t="s">
        <v>14</v>
      </c>
      <c r="AO23" s="3" t="s">
        <v>10</v>
      </c>
      <c r="AP23" s="3" t="s">
        <v>10</v>
      </c>
      <c r="AQ23" s="3">
        <v>0</v>
      </c>
      <c r="AR23" s="3">
        <v>16.047948999999999</v>
      </c>
      <c r="AS23" s="3">
        <v>0</v>
      </c>
      <c r="AT23" s="19">
        <v>38.529809</v>
      </c>
      <c r="AU23" s="19">
        <v>34.245913000000002</v>
      </c>
      <c r="AV23" s="11"/>
      <c r="BC23" s="4" t="s">
        <v>60</v>
      </c>
      <c r="BD23" s="7">
        <v>9.0646730000000009</v>
      </c>
      <c r="BE23" s="7"/>
      <c r="BF23" s="1"/>
      <c r="BG23" s="2" t="s">
        <v>14</v>
      </c>
      <c r="BH23" s="3" t="s">
        <v>10</v>
      </c>
      <c r="BI23" s="3" t="s">
        <v>10</v>
      </c>
      <c r="BJ23" s="3">
        <v>0</v>
      </c>
      <c r="BK23" s="3">
        <v>20</v>
      </c>
      <c r="BL23" s="3">
        <v>0</v>
      </c>
      <c r="BM23" s="19">
        <v>36.372011000000001</v>
      </c>
      <c r="BN23" s="19">
        <v>22.623035999999999</v>
      </c>
      <c r="BO23" s="11"/>
      <c r="BV23" s="4" t="s">
        <v>60</v>
      </c>
      <c r="BW23" s="7">
        <v>3.2126510000000001</v>
      </c>
      <c r="BX23" s="7"/>
      <c r="BY23" s="1"/>
      <c r="BZ23" s="2" t="s">
        <v>14</v>
      </c>
      <c r="CA23" s="3" t="s">
        <v>10</v>
      </c>
      <c r="CB23" s="3" t="s">
        <v>10</v>
      </c>
      <c r="CC23" s="3">
        <v>0</v>
      </c>
      <c r="CD23" s="3">
        <v>0</v>
      </c>
      <c r="CE23" s="3">
        <v>0</v>
      </c>
      <c r="CF23" s="3">
        <v>74.199459000000004</v>
      </c>
      <c r="CG23" s="3">
        <v>89.356268</v>
      </c>
      <c r="CO23" s="4" t="s">
        <v>68</v>
      </c>
      <c r="CP23">
        <v>0</v>
      </c>
      <c r="CR23" s="1"/>
    </row>
    <row r="24" spans="1:96">
      <c r="A24" s="1"/>
      <c r="B24" s="2" t="s">
        <v>15</v>
      </c>
      <c r="C24" s="3" t="s">
        <v>10</v>
      </c>
      <c r="D24" s="3" t="s">
        <v>10</v>
      </c>
      <c r="E24" s="3">
        <v>0</v>
      </c>
      <c r="F24" s="19">
        <v>4.2518909999999996</v>
      </c>
      <c r="G24" s="3" t="s">
        <v>10</v>
      </c>
      <c r="H24" s="19">
        <v>147.71914599999999</v>
      </c>
      <c r="I24" s="19">
        <v>85.304477000000006</v>
      </c>
      <c r="J24" s="11"/>
      <c r="Q24" s="4" t="s">
        <v>61</v>
      </c>
      <c r="R24" s="7">
        <v>8.7952399999999997</v>
      </c>
      <c r="S24" s="7"/>
      <c r="T24" s="1"/>
      <c r="U24" s="2" t="s">
        <v>15</v>
      </c>
      <c r="V24" s="3" t="s">
        <v>10</v>
      </c>
      <c r="W24" s="3" t="s">
        <v>10</v>
      </c>
      <c r="X24" s="3">
        <v>0</v>
      </c>
      <c r="Y24" s="3">
        <v>0</v>
      </c>
      <c r="Z24" s="3" t="s">
        <v>10</v>
      </c>
      <c r="AA24" s="19">
        <v>169.15795700000001</v>
      </c>
      <c r="AB24" s="19">
        <v>81.467889999999997</v>
      </c>
      <c r="AJ24" s="4" t="s">
        <v>61</v>
      </c>
      <c r="AK24">
        <v>8.7956679999999992</v>
      </c>
      <c r="AM24" s="1"/>
      <c r="AN24" s="2" t="s">
        <v>15</v>
      </c>
      <c r="AO24" s="3" t="s">
        <v>10</v>
      </c>
      <c r="AP24" s="3" t="s">
        <v>10</v>
      </c>
      <c r="AQ24" s="3">
        <v>0</v>
      </c>
      <c r="AR24" s="3">
        <v>0</v>
      </c>
      <c r="AS24" s="3" t="s">
        <v>10</v>
      </c>
      <c r="AT24" s="19">
        <v>157.312073</v>
      </c>
      <c r="AU24" s="19">
        <v>90.248745999999997</v>
      </c>
      <c r="AV24" s="11"/>
      <c r="BC24" s="4" t="s">
        <v>61</v>
      </c>
      <c r="BD24" s="7">
        <v>8.2789239999999999</v>
      </c>
      <c r="BE24" s="7"/>
      <c r="BF24" s="1"/>
      <c r="BG24" s="2" t="s">
        <v>15</v>
      </c>
      <c r="BH24" s="3" t="s">
        <v>10</v>
      </c>
      <c r="BI24" s="3" t="s">
        <v>10</v>
      </c>
      <c r="BJ24" s="3">
        <v>0</v>
      </c>
      <c r="BK24" s="3">
        <v>30</v>
      </c>
      <c r="BL24" s="3" t="s">
        <v>10</v>
      </c>
      <c r="BM24" s="19">
        <v>100.268618</v>
      </c>
      <c r="BN24" s="19">
        <v>34.777476999999998</v>
      </c>
      <c r="BO24" s="11"/>
      <c r="BV24" s="4" t="s">
        <v>61</v>
      </c>
      <c r="BW24" s="7">
        <v>3.9979930000000001</v>
      </c>
      <c r="BX24" s="7"/>
      <c r="BY24" s="1"/>
      <c r="BZ24" s="2" t="s">
        <v>15</v>
      </c>
      <c r="CA24" s="3" t="s">
        <v>10</v>
      </c>
      <c r="CB24" s="3" t="s">
        <v>10</v>
      </c>
      <c r="CC24" s="3">
        <v>0</v>
      </c>
      <c r="CD24" s="3">
        <v>0</v>
      </c>
      <c r="CE24" s="3" t="s">
        <v>10</v>
      </c>
      <c r="CF24" s="3">
        <v>133.25862100000001</v>
      </c>
      <c r="CG24" s="3">
        <v>155.16655399999999</v>
      </c>
      <c r="CO24" s="4" t="s">
        <v>69</v>
      </c>
      <c r="CP24">
        <v>0</v>
      </c>
      <c r="CR24" s="1"/>
    </row>
    <row r="25" spans="1:96">
      <c r="A25" s="1"/>
      <c r="B25" s="2" t="s">
        <v>16</v>
      </c>
      <c r="C25" s="3" t="s">
        <v>10</v>
      </c>
      <c r="D25" s="3" t="s">
        <v>10</v>
      </c>
      <c r="E25" s="3">
        <v>0</v>
      </c>
      <c r="F25" s="19">
        <v>1.6553370000000001</v>
      </c>
      <c r="G25" s="3" t="s">
        <v>10</v>
      </c>
      <c r="H25" s="19">
        <v>2.3804409999999998</v>
      </c>
      <c r="I25" s="19">
        <v>0.69051499999999999</v>
      </c>
      <c r="J25" s="11"/>
      <c r="Q25" s="11"/>
      <c r="R25" s="11"/>
      <c r="S25" s="11"/>
      <c r="T25" s="1"/>
      <c r="U25" s="2" t="s">
        <v>16</v>
      </c>
      <c r="V25" s="3" t="s">
        <v>10</v>
      </c>
      <c r="W25" s="3" t="s">
        <v>10</v>
      </c>
      <c r="X25" s="3">
        <v>0</v>
      </c>
      <c r="Y25" s="3">
        <v>1.6219460000000001</v>
      </c>
      <c r="Z25" s="3" t="s">
        <v>10</v>
      </c>
      <c r="AA25" s="19">
        <v>2.568816</v>
      </c>
      <c r="AB25" s="19">
        <v>0.65462699999999996</v>
      </c>
      <c r="AM25" s="1"/>
      <c r="AN25" s="2" t="s">
        <v>16</v>
      </c>
      <c r="AO25" s="3" t="s">
        <v>10</v>
      </c>
      <c r="AP25" s="3" t="s">
        <v>10</v>
      </c>
      <c r="AQ25" s="3">
        <v>0</v>
      </c>
      <c r="AR25" s="3">
        <v>1.6825239999999999</v>
      </c>
      <c r="AS25" s="3" t="s">
        <v>10</v>
      </c>
      <c r="AT25" s="19">
        <v>2.2590840000000001</v>
      </c>
      <c r="AU25" s="19">
        <v>0.64158300000000001</v>
      </c>
      <c r="AV25" s="11"/>
      <c r="BC25" s="11"/>
      <c r="BD25" s="11"/>
      <c r="BE25" s="11"/>
      <c r="BF25" s="1"/>
      <c r="BG25" s="2" t="s">
        <v>16</v>
      </c>
      <c r="BH25" s="3" t="s">
        <v>10</v>
      </c>
      <c r="BI25" s="3" t="s">
        <v>10</v>
      </c>
      <c r="BJ25" s="3">
        <v>0</v>
      </c>
      <c r="BK25" s="3">
        <v>1.8053250000000001</v>
      </c>
      <c r="BL25" s="3" t="s">
        <v>10</v>
      </c>
      <c r="BM25" s="19">
        <v>2.454644</v>
      </c>
      <c r="BN25" s="19">
        <v>0.117622</v>
      </c>
      <c r="BO25" s="11"/>
      <c r="BV25" s="11"/>
      <c r="BW25" s="11"/>
      <c r="BX25" s="11"/>
      <c r="BY25" s="1"/>
      <c r="BZ25" s="2" t="s">
        <v>16</v>
      </c>
      <c r="CA25" s="3" t="s">
        <v>10</v>
      </c>
      <c r="CB25" s="3" t="s">
        <v>10</v>
      </c>
      <c r="CC25" s="3">
        <v>0</v>
      </c>
      <c r="CD25" s="3">
        <v>1.5</v>
      </c>
      <c r="CE25" s="3" t="s">
        <v>10</v>
      </c>
      <c r="CF25" s="3">
        <v>3.0857649999999999</v>
      </c>
      <c r="CG25" s="3">
        <v>1.04426</v>
      </c>
      <c r="CR25" s="1"/>
    </row>
    <row r="26" spans="1:96">
      <c r="A26" s="1"/>
      <c r="B26" s="2" t="s">
        <v>17</v>
      </c>
      <c r="C26" s="3">
        <v>41.4</v>
      </c>
      <c r="D26" s="3" t="s">
        <v>10</v>
      </c>
      <c r="E26" s="3">
        <v>0</v>
      </c>
      <c r="F26" s="19">
        <v>14.159777</v>
      </c>
      <c r="G26" s="3" t="s">
        <v>10</v>
      </c>
      <c r="H26" s="19">
        <v>437.17666800000001</v>
      </c>
      <c r="I26" s="19">
        <v>304.73913099999999</v>
      </c>
      <c r="J26" s="11"/>
      <c r="Q26" s="4" t="s">
        <v>70</v>
      </c>
      <c r="R26" s="11" t="s">
        <v>34</v>
      </c>
      <c r="S26" t="s">
        <v>96</v>
      </c>
      <c r="T26" s="1"/>
      <c r="U26" s="2" t="s">
        <v>17</v>
      </c>
      <c r="V26" s="3">
        <v>41.4</v>
      </c>
      <c r="W26" s="3" t="s">
        <v>10</v>
      </c>
      <c r="X26" s="3">
        <v>0</v>
      </c>
      <c r="Y26" s="3">
        <v>0</v>
      </c>
      <c r="Z26" s="3" t="s">
        <v>10</v>
      </c>
      <c r="AA26" s="19">
        <v>522.24825199999998</v>
      </c>
      <c r="AB26" s="19">
        <v>282.44606499999998</v>
      </c>
      <c r="AJ26" s="4" t="s">
        <v>70</v>
      </c>
      <c r="AK26" s="11" t="s">
        <v>34</v>
      </c>
      <c r="AL26" t="s">
        <v>96</v>
      </c>
      <c r="AM26" s="1"/>
      <c r="AN26" s="2" t="s">
        <v>17</v>
      </c>
      <c r="AO26" s="3">
        <v>41.4</v>
      </c>
      <c r="AP26" s="3" t="s">
        <v>10</v>
      </c>
      <c r="AQ26" s="3">
        <v>0</v>
      </c>
      <c r="AR26" s="3">
        <v>0</v>
      </c>
      <c r="AS26" s="3" t="s">
        <v>10</v>
      </c>
      <c r="AT26" s="19">
        <v>523.16886299999999</v>
      </c>
      <c r="AU26" s="19">
        <v>282.70598000000001</v>
      </c>
      <c r="AV26" s="11"/>
      <c r="BC26" s="4" t="s">
        <v>70</v>
      </c>
      <c r="BD26" s="11" t="s">
        <v>34</v>
      </c>
      <c r="BE26" t="s">
        <v>96</v>
      </c>
      <c r="BF26" s="1"/>
      <c r="BG26" s="2" t="s">
        <v>17</v>
      </c>
      <c r="BH26" s="3">
        <v>41.4</v>
      </c>
      <c r="BI26" s="3" t="s">
        <v>10</v>
      </c>
      <c r="BJ26" s="3">
        <v>0</v>
      </c>
      <c r="BK26" s="3">
        <v>50</v>
      </c>
      <c r="BL26" s="3" t="s">
        <v>10</v>
      </c>
      <c r="BM26" s="19">
        <v>404.881235</v>
      </c>
      <c r="BN26" s="19">
        <v>203.347612</v>
      </c>
      <c r="BO26" s="11"/>
      <c r="BV26" s="4" t="s">
        <v>70</v>
      </c>
      <c r="BW26" s="11" t="s">
        <v>34</v>
      </c>
      <c r="BX26" t="s">
        <v>96</v>
      </c>
      <c r="BY26" s="1"/>
      <c r="BZ26" s="2" t="s">
        <v>17</v>
      </c>
      <c r="CA26" s="3">
        <v>41.4</v>
      </c>
      <c r="CB26" s="3" t="s">
        <v>10</v>
      </c>
      <c r="CC26" s="3">
        <v>0</v>
      </c>
      <c r="CD26" s="3">
        <v>0</v>
      </c>
      <c r="CE26" s="3" t="s">
        <v>10</v>
      </c>
      <c r="CF26" s="3">
        <v>587.56838200000004</v>
      </c>
      <c r="CG26" s="3">
        <v>400</v>
      </c>
      <c r="CO26" s="4" t="s">
        <v>70</v>
      </c>
      <c r="CP26" s="11" t="s">
        <v>34</v>
      </c>
      <c r="CQ26" t="s">
        <v>96</v>
      </c>
      <c r="CR26" s="1"/>
    </row>
    <row r="27" spans="1:96">
      <c r="A27" s="1"/>
      <c r="B27" s="2" t="s">
        <v>18</v>
      </c>
      <c r="C27" s="3" t="s">
        <v>10</v>
      </c>
      <c r="D27" s="3" t="s">
        <v>10</v>
      </c>
      <c r="E27" s="3">
        <v>0</v>
      </c>
      <c r="F27" s="19">
        <v>26.330707</v>
      </c>
      <c r="G27" s="3" t="s">
        <v>10</v>
      </c>
      <c r="H27" s="19">
        <v>46.842767000000002</v>
      </c>
      <c r="I27" s="19">
        <v>9.9178470000000001</v>
      </c>
      <c r="J27" s="11"/>
      <c r="Q27" s="4" t="s">
        <v>71</v>
      </c>
      <c r="R27" s="15">
        <v>6622</v>
      </c>
      <c r="S27" s="7">
        <f>R27/(L32*1000/365)</f>
        <v>3.8304627181943025</v>
      </c>
      <c r="T27" s="1"/>
      <c r="U27" s="2" t="s">
        <v>18</v>
      </c>
      <c r="V27" s="3" t="s">
        <v>10</v>
      </c>
      <c r="W27" s="3" t="s">
        <v>10</v>
      </c>
      <c r="X27" s="3">
        <v>0</v>
      </c>
      <c r="Y27" s="3">
        <v>26.208670999999999</v>
      </c>
      <c r="Z27" s="3" t="s">
        <v>10</v>
      </c>
      <c r="AA27" s="19">
        <v>47.412067</v>
      </c>
      <c r="AB27" s="19">
        <v>10.120653000000001</v>
      </c>
      <c r="AJ27" s="4" t="s">
        <v>71</v>
      </c>
      <c r="AK27" s="15">
        <v>6622</v>
      </c>
      <c r="AL27" s="7">
        <f>AK27/(AE32*1000/365)</f>
        <v>4.0441428795781418</v>
      </c>
      <c r="AM27" s="1"/>
      <c r="AN27" s="2" t="s">
        <v>18</v>
      </c>
      <c r="AO27" s="3" t="s">
        <v>10</v>
      </c>
      <c r="AP27" s="3" t="s">
        <v>10</v>
      </c>
      <c r="AQ27" s="3">
        <v>0</v>
      </c>
      <c r="AR27" s="3">
        <v>27.002624000000001</v>
      </c>
      <c r="AS27" s="3" t="s">
        <v>10</v>
      </c>
      <c r="AT27" s="19">
        <v>43.195562000000002</v>
      </c>
      <c r="AU27" s="19">
        <v>10.320171999999999</v>
      </c>
      <c r="AV27" s="11"/>
      <c r="BC27" s="4" t="s">
        <v>71</v>
      </c>
      <c r="BD27" s="15">
        <v>6622</v>
      </c>
      <c r="BE27" s="7">
        <f>BD27/(AX32*1000/365)</f>
        <v>4.1217088371590895</v>
      </c>
      <c r="BF27" s="1"/>
      <c r="BG27" s="2" t="s">
        <v>18</v>
      </c>
      <c r="BH27" s="3" t="s">
        <v>10</v>
      </c>
      <c r="BI27" s="3" t="s">
        <v>10</v>
      </c>
      <c r="BJ27" s="3">
        <v>0</v>
      </c>
      <c r="BK27" s="3">
        <v>30</v>
      </c>
      <c r="BL27" s="3" t="s">
        <v>10</v>
      </c>
      <c r="BM27" s="19">
        <v>41.269181000000003</v>
      </c>
      <c r="BN27" s="19">
        <v>2.2000000000000002</v>
      </c>
      <c r="BO27" s="11"/>
      <c r="BV27" s="4" t="s">
        <v>71</v>
      </c>
      <c r="BW27" s="15">
        <v>6622</v>
      </c>
      <c r="BX27" s="7">
        <f>BW27/(BQ32*1000/365)</f>
        <v>3.8305096675816408</v>
      </c>
      <c r="BY27" s="1"/>
      <c r="BZ27" s="2" t="s">
        <v>18</v>
      </c>
      <c r="CA27" s="3" t="s">
        <v>10</v>
      </c>
      <c r="CB27" s="3" t="s">
        <v>10</v>
      </c>
      <c r="CC27" s="3">
        <v>0</v>
      </c>
      <c r="CD27" s="3">
        <v>10</v>
      </c>
      <c r="CE27" s="3" t="s">
        <v>10</v>
      </c>
      <c r="CF27" s="3">
        <v>116.800329</v>
      </c>
      <c r="CG27" s="3">
        <v>40.574817000000003</v>
      </c>
      <c r="CO27" s="4" t="s">
        <v>71</v>
      </c>
      <c r="CP27" s="15">
        <v>3918.8569010000001</v>
      </c>
      <c r="CQ27" s="7">
        <f>CP27/(CJ32*1000/365)</f>
        <v>3.2028028034181362</v>
      </c>
      <c r="CR27" s="1"/>
    </row>
    <row r="28" spans="1:96">
      <c r="A28" s="1"/>
      <c r="B28" s="2" t="s">
        <v>19</v>
      </c>
      <c r="C28" s="3" t="s">
        <v>10</v>
      </c>
      <c r="D28" s="3" t="s">
        <v>10</v>
      </c>
      <c r="E28" s="3">
        <v>0</v>
      </c>
      <c r="F28" s="3">
        <v>0</v>
      </c>
      <c r="G28" s="3">
        <v>8</v>
      </c>
      <c r="H28" s="19">
        <v>29.979340000000001</v>
      </c>
      <c r="I28" s="19">
        <v>30.341353000000002</v>
      </c>
      <c r="J28" s="11"/>
      <c r="Q28" s="4" t="s">
        <v>72</v>
      </c>
      <c r="R28" s="15">
        <v>8886.8218230000002</v>
      </c>
      <c r="S28" s="7">
        <f t="shared" ref="S28:S36" si="13">R28/(L33*1000/365)</f>
        <v>2.1541287160984495</v>
      </c>
      <c r="T28" s="1"/>
      <c r="U28" s="2" t="s">
        <v>19</v>
      </c>
      <c r="V28" s="3" t="s">
        <v>10</v>
      </c>
      <c r="W28" s="3" t="s">
        <v>10</v>
      </c>
      <c r="X28" s="3">
        <v>0</v>
      </c>
      <c r="Y28" s="3">
        <v>0</v>
      </c>
      <c r="Z28" s="3">
        <v>8</v>
      </c>
      <c r="AA28" s="19">
        <v>29.975977</v>
      </c>
      <c r="AB28" s="19">
        <v>30.343931000000001</v>
      </c>
      <c r="AJ28" s="4" t="s">
        <v>72</v>
      </c>
      <c r="AK28" s="15">
        <v>8706.514212</v>
      </c>
      <c r="AL28" s="7">
        <f t="shared" ref="AL28:AL36" si="14">AK28/(AE33*1000/365)</f>
        <v>2.2003197758073396</v>
      </c>
      <c r="AM28" s="1"/>
      <c r="AN28" s="2" t="s">
        <v>19</v>
      </c>
      <c r="AO28" s="3" t="s">
        <v>10</v>
      </c>
      <c r="AP28" s="3" t="s">
        <v>10</v>
      </c>
      <c r="AQ28" s="3">
        <v>0</v>
      </c>
      <c r="AR28" s="3">
        <v>0</v>
      </c>
      <c r="AS28" s="3">
        <v>8</v>
      </c>
      <c r="AT28" s="19">
        <v>30.099011000000001</v>
      </c>
      <c r="AU28" s="19">
        <v>30.156817</v>
      </c>
      <c r="AV28" s="11"/>
      <c r="BC28" s="4" t="s">
        <v>72</v>
      </c>
      <c r="BD28" s="15">
        <v>8389.4263329999994</v>
      </c>
      <c r="BE28" s="7">
        <f t="shared" ref="BE28:BE36" si="15">BD28/(AX33*1000/365)</f>
        <v>2.1518531818282089</v>
      </c>
      <c r="BF28" s="1"/>
      <c r="BG28" s="2" t="s">
        <v>19</v>
      </c>
      <c r="BH28" s="3" t="s">
        <v>10</v>
      </c>
      <c r="BI28" s="3" t="s">
        <v>10</v>
      </c>
      <c r="BJ28" s="3">
        <v>0</v>
      </c>
      <c r="BK28" s="3">
        <v>4.7455429999999996</v>
      </c>
      <c r="BL28" s="3">
        <v>8</v>
      </c>
      <c r="BM28" s="19">
        <v>30.797910000000002</v>
      </c>
      <c r="BN28" s="19">
        <v>17.982845000000001</v>
      </c>
      <c r="BO28" s="11"/>
      <c r="BV28" s="4" t="s">
        <v>72</v>
      </c>
      <c r="BW28" s="15">
        <v>8886.8218230000002</v>
      </c>
      <c r="BX28" s="7">
        <f t="shared" ref="BX28:BX36" si="16">BW28/(BQ33*1000/365)</f>
        <v>2.1541287160984495</v>
      </c>
      <c r="BY28" s="1"/>
      <c r="BZ28" s="2" t="s">
        <v>19</v>
      </c>
      <c r="CA28" s="3" t="s">
        <v>10</v>
      </c>
      <c r="CB28" s="3" t="s">
        <v>10</v>
      </c>
      <c r="CC28" s="3">
        <v>0</v>
      </c>
      <c r="CD28" s="3">
        <v>0</v>
      </c>
      <c r="CE28" s="3">
        <v>8</v>
      </c>
      <c r="CF28" s="3">
        <v>31.927976999999998</v>
      </c>
      <c r="CG28" s="3">
        <v>41.681759999999997</v>
      </c>
      <c r="CO28" s="4" t="s">
        <v>72</v>
      </c>
      <c r="CP28" s="15">
        <v>6822.1945699999997</v>
      </c>
      <c r="CQ28" s="7">
        <f t="shared" ref="CQ28:CQ36" si="17">CP28/(CJ33*1000/365)</f>
        <v>2.030637887604525</v>
      </c>
      <c r="CR28" s="1"/>
    </row>
    <row r="29" spans="1:96" ht="88.5">
      <c r="A29" s="1"/>
      <c r="B29" s="8" t="s">
        <v>47</v>
      </c>
      <c r="J29" s="10" t="s">
        <v>48</v>
      </c>
      <c r="K29" s="10" t="s">
        <v>49</v>
      </c>
      <c r="L29" s="10" t="s">
        <v>95</v>
      </c>
      <c r="M29" s="10" t="s">
        <v>252</v>
      </c>
      <c r="N29" s="10" t="s">
        <v>110</v>
      </c>
      <c r="O29" s="10" t="s">
        <v>116</v>
      </c>
      <c r="P29" s="10" t="s">
        <v>285</v>
      </c>
      <c r="Q29" s="4" t="s">
        <v>80</v>
      </c>
      <c r="R29" s="15">
        <v>0</v>
      </c>
      <c r="S29" s="7">
        <f t="shared" si="13"/>
        <v>0</v>
      </c>
      <c r="T29" s="1"/>
      <c r="U29" s="8" t="s">
        <v>47</v>
      </c>
      <c r="AC29" s="10" t="s">
        <v>48</v>
      </c>
      <c r="AD29" s="10" t="s">
        <v>49</v>
      </c>
      <c r="AE29" s="10" t="s">
        <v>95</v>
      </c>
      <c r="AF29" s="10" t="s">
        <v>252</v>
      </c>
      <c r="AG29" s="10" t="s">
        <v>110</v>
      </c>
      <c r="AH29" s="10" t="s">
        <v>116</v>
      </c>
      <c r="AI29" s="10" t="s">
        <v>285</v>
      </c>
      <c r="AJ29" s="4" t="s">
        <v>80</v>
      </c>
      <c r="AK29" s="15">
        <v>0</v>
      </c>
      <c r="AL29" s="7">
        <f t="shared" si="14"/>
        <v>0</v>
      </c>
      <c r="AM29" s="1"/>
      <c r="AN29" s="8" t="s">
        <v>47</v>
      </c>
      <c r="AV29" s="10" t="s">
        <v>48</v>
      </c>
      <c r="AW29" s="10" t="s">
        <v>49</v>
      </c>
      <c r="AX29" s="10" t="s">
        <v>95</v>
      </c>
      <c r="AY29" s="10" t="s">
        <v>252</v>
      </c>
      <c r="AZ29" s="10" t="s">
        <v>110</v>
      </c>
      <c r="BA29" s="10" t="s">
        <v>116</v>
      </c>
      <c r="BB29" s="10" t="s">
        <v>285</v>
      </c>
      <c r="BC29" s="4" t="s">
        <v>80</v>
      </c>
      <c r="BD29" s="15">
        <v>0</v>
      </c>
      <c r="BE29" s="7">
        <f t="shared" si="15"/>
        <v>0</v>
      </c>
      <c r="BF29" s="1"/>
      <c r="BG29" s="8" t="s">
        <v>47</v>
      </c>
      <c r="BO29" s="10" t="s">
        <v>48</v>
      </c>
      <c r="BP29" s="10" t="s">
        <v>49</v>
      </c>
      <c r="BQ29" s="10" t="s">
        <v>95</v>
      </c>
      <c r="BR29" s="10" t="s">
        <v>252</v>
      </c>
      <c r="BS29" s="10" t="s">
        <v>110</v>
      </c>
      <c r="BT29" s="10" t="s">
        <v>116</v>
      </c>
      <c r="BU29" s="10" t="s">
        <v>285</v>
      </c>
      <c r="BV29" s="4" t="s">
        <v>80</v>
      </c>
      <c r="BW29" s="15">
        <v>0</v>
      </c>
      <c r="BX29" s="7">
        <f t="shared" si="16"/>
        <v>0</v>
      </c>
      <c r="BY29" s="1"/>
      <c r="BZ29" s="8" t="s">
        <v>47</v>
      </c>
      <c r="CH29" s="10" t="s">
        <v>48</v>
      </c>
      <c r="CI29" s="10" t="s">
        <v>49</v>
      </c>
      <c r="CJ29" s="10" t="s">
        <v>95</v>
      </c>
      <c r="CK29" s="10" t="s">
        <v>113</v>
      </c>
      <c r="CL29" s="10" t="s">
        <v>110</v>
      </c>
      <c r="CM29" s="10" t="s">
        <v>116</v>
      </c>
      <c r="CN29" s="10"/>
      <c r="CO29" s="4" t="s">
        <v>80</v>
      </c>
      <c r="CP29" s="15">
        <v>0</v>
      </c>
      <c r="CQ29" s="7">
        <f t="shared" si="17"/>
        <v>0</v>
      </c>
      <c r="CR29" s="1"/>
    </row>
    <row r="30" spans="1:96" ht="29.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L30" s="61">
        <f>SUM(L32:L41)</f>
        <v>8063.5229650000001</v>
      </c>
      <c r="M30" s="10"/>
      <c r="N30" s="10"/>
      <c r="O30" s="10"/>
      <c r="P30" s="10"/>
      <c r="Q30" s="4" t="s">
        <v>73</v>
      </c>
      <c r="R30" s="15">
        <v>23914.094025999999</v>
      </c>
      <c r="S30" s="7">
        <f t="shared" si="13"/>
        <v>3.8251508738031972</v>
      </c>
      <c r="T30" s="1"/>
      <c r="U30" s="2" t="s">
        <v>0</v>
      </c>
      <c r="V30" s="2" t="s">
        <v>1</v>
      </c>
      <c r="W30" s="2" t="s">
        <v>2</v>
      </c>
      <c r="X30" s="2" t="s">
        <v>3</v>
      </c>
      <c r="Y30" s="2" t="s">
        <v>4</v>
      </c>
      <c r="Z30" s="2" t="s">
        <v>5</v>
      </c>
      <c r="AA30" s="2" t="s">
        <v>6</v>
      </c>
      <c r="AB30" s="2" t="s">
        <v>7</v>
      </c>
      <c r="AC30" s="10"/>
      <c r="AE30" s="61">
        <f>SUM(AE32:AE41)</f>
        <v>7838.4921789999989</v>
      </c>
      <c r="AF30" s="10"/>
      <c r="AG30" s="10"/>
      <c r="AH30" s="10"/>
      <c r="AI30" s="10"/>
      <c r="AJ30" s="4" t="s">
        <v>73</v>
      </c>
      <c r="AK30" s="15">
        <v>19603.876672999999</v>
      </c>
      <c r="AL30" s="7">
        <f t="shared" si="14"/>
        <v>3.268374194546074</v>
      </c>
      <c r="AM30" s="1"/>
      <c r="AN30" s="2" t="s">
        <v>0</v>
      </c>
      <c r="AO30" s="2" t="s">
        <v>1</v>
      </c>
      <c r="AP30" s="2" t="s">
        <v>2</v>
      </c>
      <c r="AQ30" s="2" t="s">
        <v>3</v>
      </c>
      <c r="AR30" s="2" t="s">
        <v>4</v>
      </c>
      <c r="AS30" s="2" t="s">
        <v>5</v>
      </c>
      <c r="AT30" s="2" t="s">
        <v>6</v>
      </c>
      <c r="AU30" s="2" t="s">
        <v>7</v>
      </c>
      <c r="AV30" s="10"/>
      <c r="AX30" s="61">
        <f>SUM(AX32:AX41)</f>
        <v>7840.5573950000016</v>
      </c>
      <c r="AY30" s="10"/>
      <c r="AZ30" s="10"/>
      <c r="BA30" s="10"/>
      <c r="BB30" s="10"/>
      <c r="BC30" s="4" t="s">
        <v>73</v>
      </c>
      <c r="BD30" s="15">
        <v>18797.758217999999</v>
      </c>
      <c r="BE30" s="7">
        <f t="shared" si="15"/>
        <v>3.0868133515632099</v>
      </c>
      <c r="BF30" s="1"/>
      <c r="BG30" s="2" t="s">
        <v>0</v>
      </c>
      <c r="BH30" s="2" t="s">
        <v>1</v>
      </c>
      <c r="BI30" s="2" t="s">
        <v>2</v>
      </c>
      <c r="BJ30" s="2" t="s">
        <v>3</v>
      </c>
      <c r="BK30" s="2" t="s">
        <v>4</v>
      </c>
      <c r="BL30" s="2" t="s">
        <v>5</v>
      </c>
      <c r="BM30" s="2" t="s">
        <v>6</v>
      </c>
      <c r="BN30" s="2" t="s">
        <v>7</v>
      </c>
      <c r="BO30" s="10"/>
      <c r="BQ30" s="61">
        <f>SUM(BQ32:BQ41)</f>
        <v>7658.1339760000001</v>
      </c>
      <c r="BR30" s="10"/>
      <c r="BS30" s="10"/>
      <c r="BT30" s="10"/>
      <c r="BU30" s="10"/>
      <c r="BV30" s="4" t="s">
        <v>73</v>
      </c>
      <c r="BW30" s="15">
        <v>26437.255775000001</v>
      </c>
      <c r="BX30" s="7">
        <f t="shared" si="16"/>
        <v>4.3696646866685098</v>
      </c>
      <c r="BY30" s="1"/>
      <c r="BZ30" s="2" t="s">
        <v>0</v>
      </c>
      <c r="CA30" s="2" t="s">
        <v>1</v>
      </c>
      <c r="CB30" s="2" t="s">
        <v>2</v>
      </c>
      <c r="CC30" s="2" t="s">
        <v>3</v>
      </c>
      <c r="CD30" s="2" t="s">
        <v>4</v>
      </c>
      <c r="CE30" s="2" t="s">
        <v>5</v>
      </c>
      <c r="CF30" s="2" t="s">
        <v>6</v>
      </c>
      <c r="CG30" s="2" t="s">
        <v>7</v>
      </c>
      <c r="CH30" s="10"/>
      <c r="CK30" s="10"/>
      <c r="CL30" s="10"/>
      <c r="CM30" s="10"/>
      <c r="CN30" s="10"/>
      <c r="CO30" s="4" t="s">
        <v>73</v>
      </c>
      <c r="CP30" s="15">
        <v>14337.105609</v>
      </c>
      <c r="CQ30" s="7">
        <f t="shared" si="17"/>
        <v>2.5481627579167783</v>
      </c>
      <c r="CR30" s="1"/>
    </row>
    <row r="31" spans="1:96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M31" s="10"/>
      <c r="N31" s="10"/>
      <c r="O31" s="10"/>
      <c r="P31" s="10"/>
      <c r="Q31" s="4" t="s">
        <v>79</v>
      </c>
      <c r="R31" s="16">
        <v>1173.48162</v>
      </c>
      <c r="S31" s="7">
        <f t="shared" si="13"/>
        <v>1.4088625431188291</v>
      </c>
      <c r="T31" s="1"/>
      <c r="U31" s="2" t="s">
        <v>8</v>
      </c>
      <c r="V31" s="2"/>
      <c r="W31" s="2"/>
      <c r="X31" s="2"/>
      <c r="Y31" s="2"/>
      <c r="Z31" s="2"/>
      <c r="AA31" s="2"/>
      <c r="AB31" s="2"/>
      <c r="AC31" s="10"/>
      <c r="AF31" s="10"/>
      <c r="AG31" s="10"/>
      <c r="AH31" s="10"/>
      <c r="AI31" s="10"/>
      <c r="AJ31" s="4" t="s">
        <v>79</v>
      </c>
      <c r="AK31" s="16">
        <v>1189.7286329999999</v>
      </c>
      <c r="AL31" s="7">
        <f t="shared" si="14"/>
        <v>1.4288630092065464</v>
      </c>
      <c r="AM31" s="1"/>
      <c r="AN31" s="2" t="s">
        <v>8</v>
      </c>
      <c r="AO31" s="2"/>
      <c r="AP31" s="2"/>
      <c r="AQ31" s="2"/>
      <c r="AR31" s="2"/>
      <c r="AS31" s="2"/>
      <c r="AT31" s="2"/>
      <c r="AU31" s="2"/>
      <c r="AV31" s="10"/>
      <c r="AY31" s="10"/>
      <c r="AZ31" s="10"/>
      <c r="BA31" s="10"/>
      <c r="BB31" s="10"/>
      <c r="BC31" s="4" t="s">
        <v>79</v>
      </c>
      <c r="BD31" s="16">
        <v>959.666875</v>
      </c>
      <c r="BE31" s="7">
        <f t="shared" si="15"/>
        <v>1.1866515183335764</v>
      </c>
      <c r="BF31" s="1"/>
      <c r="BG31" s="2" t="s">
        <v>8</v>
      </c>
      <c r="BH31" s="2"/>
      <c r="BI31" s="2"/>
      <c r="BJ31" s="2"/>
      <c r="BK31" s="2"/>
      <c r="BL31" s="2"/>
      <c r="BM31" s="2"/>
      <c r="BN31" s="2"/>
      <c r="BO31" s="10"/>
      <c r="BR31" s="10"/>
      <c r="BS31" s="10"/>
      <c r="BT31" s="10"/>
      <c r="BU31" s="10"/>
      <c r="BV31" s="4" t="s">
        <v>79</v>
      </c>
      <c r="BW31" s="16">
        <v>870.91599099999996</v>
      </c>
      <c r="BX31" s="7">
        <f t="shared" si="16"/>
        <v>1.1538170193601269</v>
      </c>
      <c r="BY31" s="1"/>
      <c r="BZ31" s="2" t="s">
        <v>8</v>
      </c>
      <c r="CA31" s="2"/>
      <c r="CB31" s="2"/>
      <c r="CC31" s="2"/>
      <c r="CD31" s="2"/>
      <c r="CE31" s="2"/>
      <c r="CF31" s="2"/>
      <c r="CG31" s="2"/>
      <c r="CH31" s="10"/>
      <c r="CK31" s="10"/>
      <c r="CL31" s="10"/>
      <c r="CM31" s="10"/>
      <c r="CN31" s="10"/>
      <c r="CO31" s="4" t="s">
        <v>79</v>
      </c>
      <c r="CP31" s="16">
        <v>806.29834800000003</v>
      </c>
      <c r="CQ31" s="7">
        <f t="shared" si="17"/>
        <v>1.1011882618713478</v>
      </c>
      <c r="CR31" s="1"/>
    </row>
    <row r="32" spans="1:96">
      <c r="A32" s="1"/>
      <c r="B32" s="2" t="s">
        <v>9</v>
      </c>
      <c r="C32" s="3" t="s">
        <v>10</v>
      </c>
      <c r="D32" s="3" t="s">
        <v>10</v>
      </c>
      <c r="E32" s="3">
        <v>0</v>
      </c>
      <c r="F32" s="3" t="s">
        <v>10</v>
      </c>
      <c r="G32" s="3" t="s">
        <v>10</v>
      </c>
      <c r="H32" s="19">
        <v>252.66845900000001</v>
      </c>
      <c r="I32" s="19">
        <v>378.33363600000001</v>
      </c>
      <c r="J32" s="12">
        <f>H32/(SUM(C32:I32))</f>
        <v>0.4004241206203919</v>
      </c>
      <c r="K32" s="12">
        <f>I32/(SUM(C32:I32))</f>
        <v>0.5995758793796081</v>
      </c>
      <c r="L32" s="17">
        <f>SUM(C32:I32)</f>
        <v>631.00209500000005</v>
      </c>
      <c r="M32" s="24">
        <f>0-'2. Diesel-battery-storage'!$M32</f>
        <v>-75.873287160000004</v>
      </c>
      <c r="N32" s="24">
        <f>-(G5-'2. Diesel-battery-storage'!$G5)*L32/M32</f>
        <v>-121.25175864463912</v>
      </c>
      <c r="O32" s="29">
        <f>-N32*M32/1000+'2. Diesel-battery-storage'!$AJ32</f>
        <v>-51.634047963069641</v>
      </c>
      <c r="P32" s="41">
        <f>O32/'0. Current system'!$L32*1000</f>
        <v>-183.5085393472819</v>
      </c>
      <c r="Q32" s="4" t="s">
        <v>75</v>
      </c>
      <c r="R32" s="16">
        <v>4661.6470149999996</v>
      </c>
      <c r="S32" s="7">
        <f t="shared" si="13"/>
        <v>2.8140293679561874</v>
      </c>
      <c r="T32" s="1"/>
      <c r="U32" s="2" t="s">
        <v>9</v>
      </c>
      <c r="V32" s="3" t="s">
        <v>10</v>
      </c>
      <c r="W32" s="3" t="s">
        <v>10</v>
      </c>
      <c r="X32" s="3">
        <v>0</v>
      </c>
      <c r="Y32" s="3" t="s">
        <v>10</v>
      </c>
      <c r="Z32" s="3" t="s">
        <v>10</v>
      </c>
      <c r="AA32" s="19">
        <v>280.441486</v>
      </c>
      <c r="AB32" s="19">
        <v>317.22038500000002</v>
      </c>
      <c r="AC32" s="12">
        <f>AA32/(SUM(V32:AB32))</f>
        <v>0.46923101440412951</v>
      </c>
      <c r="AD32" s="12">
        <f>AB32/(SUM(V32:AB32))</f>
        <v>0.53076898559587049</v>
      </c>
      <c r="AE32" s="17">
        <f>SUM(V32:AB32)</f>
        <v>597.66187100000002</v>
      </c>
      <c r="AF32" s="24">
        <f>0-'2. Diesel-battery-storage'!$M32</f>
        <v>-75.873287160000004</v>
      </c>
      <c r="AG32" s="24">
        <f>-(Z5-'2. Diesel-battery-storage'!$G5)*AE32/AF32</f>
        <v>-98.919916166640505</v>
      </c>
      <c r="AH32" s="29">
        <f>-AG32*AF32/1000+'2. Diesel-battery-storage'!$AJ32</f>
        <v>-49.939657665924564</v>
      </c>
      <c r="AI32" s="41">
        <f>AH32/'0. Current system'!$L32*1000</f>
        <v>-177.48663905513956</v>
      </c>
      <c r="AJ32" s="4" t="s">
        <v>75</v>
      </c>
      <c r="AK32" s="16">
        <v>5122.4233709999999</v>
      </c>
      <c r="AL32" s="7">
        <f t="shared" si="14"/>
        <v>3.1222910584679644</v>
      </c>
      <c r="AM32" s="1"/>
      <c r="AN32" s="2" t="s">
        <v>9</v>
      </c>
      <c r="AO32" s="3" t="s">
        <v>10</v>
      </c>
      <c r="AP32" s="3" t="s">
        <v>10</v>
      </c>
      <c r="AQ32" s="3">
        <v>0</v>
      </c>
      <c r="AR32" s="3" t="s">
        <v>10</v>
      </c>
      <c r="AS32" s="3" t="s">
        <v>10</v>
      </c>
      <c r="AT32" s="19">
        <v>273.712153</v>
      </c>
      <c r="AU32" s="19">
        <v>312.70238899999998</v>
      </c>
      <c r="AV32" s="12">
        <f>AT32/(SUM(AO32:AU32))</f>
        <v>0.46675539809515842</v>
      </c>
      <c r="AW32" s="12">
        <f>AU32/(SUM(AO32:AU32))</f>
        <v>0.53324460190484158</v>
      </c>
      <c r="AX32" s="17">
        <f>SUM(AO32:AU32)</f>
        <v>586.41454199999998</v>
      </c>
      <c r="AY32" s="24">
        <f>0-'2. Diesel-battery-storage'!$M32</f>
        <v>-75.873287160000004</v>
      </c>
      <c r="AZ32" s="24">
        <f>-(AS5-'2. Diesel-battery-storage'!$G5)*AX32/AY32</f>
        <v>-77.633292012140075</v>
      </c>
      <c r="BA32" s="29">
        <f>-AZ32*AY32/1000+'2. Diesel-battery-storage'!$AJ32</f>
        <v>-48.324571518783159</v>
      </c>
      <c r="BB32" s="41">
        <f>BA32/'0. Current system'!$L32*1000</f>
        <v>-171.74658745209788</v>
      </c>
      <c r="BC32" s="4" t="s">
        <v>75</v>
      </c>
      <c r="BD32" s="16">
        <v>4833.9198809999998</v>
      </c>
      <c r="BE32" s="7">
        <f t="shared" si="15"/>
        <v>2.8750483211288014</v>
      </c>
      <c r="BF32" s="1"/>
      <c r="BG32" s="2" t="s">
        <v>9</v>
      </c>
      <c r="BH32" s="3" t="s">
        <v>10</v>
      </c>
      <c r="BI32" s="3" t="s">
        <v>10</v>
      </c>
      <c r="BJ32" s="3">
        <v>0</v>
      </c>
      <c r="BK32" s="3" t="s">
        <v>10</v>
      </c>
      <c r="BL32" s="3" t="s">
        <v>10</v>
      </c>
      <c r="BM32" s="19">
        <v>252.723106</v>
      </c>
      <c r="BN32" s="19">
        <v>378.271255</v>
      </c>
      <c r="BO32" s="12">
        <f>BM32/(SUM(BH32:BN32))</f>
        <v>0.40051563313416044</v>
      </c>
      <c r="BP32" s="12">
        <f>BN32/(SUM(BH32:BN32))</f>
        <v>0.5994843668658395</v>
      </c>
      <c r="BQ32" s="17">
        <f>SUM(BH32:BN32)</f>
        <v>630.99436100000003</v>
      </c>
      <c r="BR32" s="24">
        <f>0-'2. Diesel-battery-storage'!$M32</f>
        <v>-75.873287160000004</v>
      </c>
      <c r="BS32" s="24">
        <f>-(BL5-'2. Diesel-battery-storage'!$G5)*BQ32/BR32</f>
        <v>134.10881824934674</v>
      </c>
      <c r="BT32" s="29">
        <f>-BS32*BR32/1000+'2. Diesel-battery-storage'!$AJ32</f>
        <v>-32.259001583048992</v>
      </c>
      <c r="BU32" s="41">
        <f>BT32/'0. Current system'!$L32*1000</f>
        <v>-114.64919941084246</v>
      </c>
      <c r="BV32" s="4" t="s">
        <v>75</v>
      </c>
      <c r="BW32" s="16">
        <v>2723.448425</v>
      </c>
      <c r="BX32" s="7">
        <f t="shared" si="16"/>
        <v>2.0048453993414794</v>
      </c>
      <c r="BY32" s="1"/>
      <c r="BZ32" s="2" t="s">
        <v>9</v>
      </c>
      <c r="CA32" s="3" t="s">
        <v>10</v>
      </c>
      <c r="CB32" s="3" t="s">
        <v>10</v>
      </c>
      <c r="CC32" s="3">
        <v>0</v>
      </c>
      <c r="CD32" s="3" t="s">
        <v>10</v>
      </c>
      <c r="CE32" s="3" t="s">
        <v>10</v>
      </c>
      <c r="CF32" s="19">
        <v>161.49016900000001</v>
      </c>
      <c r="CG32" s="19">
        <v>285.11327699999998</v>
      </c>
      <c r="CH32" s="12">
        <f>CF32/(SUM(CA32:CG32))</f>
        <v>0.3615963343910249</v>
      </c>
      <c r="CI32" s="12">
        <f>CG32/(SUM(CA32:CG32))</f>
        <v>0.63840366560897521</v>
      </c>
      <c r="CJ32" s="17">
        <f>SUM(CA32:CG32)</f>
        <v>446.60344599999996</v>
      </c>
      <c r="CK32" s="24" t="e">
        <f>(0-'2''. Storage - some with diesel'!#REF!)</f>
        <v>#REF!</v>
      </c>
      <c r="CL32" s="24" t="e">
        <f>-(CE5-'2''. Storage - some with diesel'!#REF!)*CJ32/CK32</f>
        <v>#REF!</v>
      </c>
      <c r="CM32" s="29" t="e">
        <f>CL32*CK32/1000+'2. Diesel-battery-storage'!$AJ32</f>
        <v>#REF!</v>
      </c>
      <c r="CN32" s="41"/>
      <c r="CO32" s="4" t="s">
        <v>75</v>
      </c>
      <c r="CP32" s="16">
        <v>2018.4280040000001</v>
      </c>
      <c r="CQ32" s="7">
        <f t="shared" si="17"/>
        <v>1.5311119254813506</v>
      </c>
      <c r="CR32" s="1"/>
    </row>
    <row r="33" spans="1:96">
      <c r="A33" s="1"/>
      <c r="B33" s="2" t="s">
        <v>11</v>
      </c>
      <c r="C33" s="3">
        <v>10.119586999999999</v>
      </c>
      <c r="D33" s="3" t="s">
        <v>10</v>
      </c>
      <c r="E33" s="3">
        <v>0</v>
      </c>
      <c r="F33" s="3" t="s">
        <v>10</v>
      </c>
      <c r="G33" s="3" t="s">
        <v>10</v>
      </c>
      <c r="H33" s="19">
        <v>830.98595499999999</v>
      </c>
      <c r="I33" s="19">
        <v>664.69582500000001</v>
      </c>
      <c r="J33" s="12">
        <f t="shared" ref="J33:J41" si="18">H33/(SUM(C33:I33))</f>
        <v>0.5518562894225344</v>
      </c>
      <c r="K33" s="12">
        <f t="shared" ref="K33:K41" si="19">I33/(SUM(C33:I33))</f>
        <v>0.44142331091402176</v>
      </c>
      <c r="L33" s="17">
        <f t="shared" ref="L33:L41" si="20">SUM(C33:I33)</f>
        <v>1505.801367</v>
      </c>
      <c r="M33" s="24">
        <f>0-'2. Diesel-battery-storage'!$M33</f>
        <v>-127.85383050000002</v>
      </c>
      <c r="N33" s="24">
        <f>-(G6-'2. Diesel-battery-storage'!$G6)*L33/M33</f>
        <v>-98.589464287786825</v>
      </c>
      <c r="O33" s="29">
        <f>-N33*M33/1000+'2. Diesel-battery-storage'!$AJ33</f>
        <v>-113.22853459044799</v>
      </c>
      <c r="P33" s="41">
        <f>O33/'0. Current system'!$L33*1000</f>
        <v>-169.6619398689316</v>
      </c>
      <c r="Q33" s="4" t="s">
        <v>78</v>
      </c>
      <c r="R33" s="16">
        <v>31.588574999999999</v>
      </c>
      <c r="S33" s="7">
        <f t="shared" si="13"/>
        <v>0.6901906759191494</v>
      </c>
      <c r="T33" s="1"/>
      <c r="U33" s="2" t="s">
        <v>11</v>
      </c>
      <c r="V33" s="3">
        <v>10.138982</v>
      </c>
      <c r="W33" s="3" t="s">
        <v>10</v>
      </c>
      <c r="X33" s="3">
        <v>0</v>
      </c>
      <c r="Y33" s="3" t="s">
        <v>10</v>
      </c>
      <c r="Z33" s="3" t="s">
        <v>10</v>
      </c>
      <c r="AA33" s="19">
        <v>779.433808</v>
      </c>
      <c r="AB33" s="19">
        <v>654.70713799999999</v>
      </c>
      <c r="AC33" s="12">
        <f t="shared" ref="AC33:AC41" si="21">AA33/(SUM(V33:AB33))</f>
        <v>0.53966948711898188</v>
      </c>
      <c r="AD33" s="12">
        <f t="shared" ref="AD33:AD41" si="22">AB33/(SUM(V33:AB33))</f>
        <v>0.4533104180895326</v>
      </c>
      <c r="AE33" s="17">
        <f t="shared" ref="AE33:AE41" si="23">SUM(V33:AB33)</f>
        <v>1444.2799279999999</v>
      </c>
      <c r="AF33" s="24">
        <f>0-'2. Diesel-battery-storage'!$M33</f>
        <v>-127.85383050000002</v>
      </c>
      <c r="AG33" s="24">
        <f>-(Z6-'2. Diesel-battery-storage'!$G6)*AE33/AF33</f>
        <v>-125.92851241765048</v>
      </c>
      <c r="AH33" s="29">
        <f>-AG33*AF33/1000+'2. Diesel-battery-storage'!$AJ33</f>
        <v>-116.72393661607492</v>
      </c>
      <c r="AI33" s="41">
        <f>AH33/'0. Current system'!$L33*1000</f>
        <v>-174.89945963755434</v>
      </c>
      <c r="AJ33" s="4" t="s">
        <v>78</v>
      </c>
      <c r="AK33" s="16">
        <v>36.953406999999999</v>
      </c>
      <c r="AL33" s="7">
        <f t="shared" si="14"/>
        <v>0.80762375846050372</v>
      </c>
      <c r="AM33" s="1"/>
      <c r="AN33" s="2" t="s">
        <v>11</v>
      </c>
      <c r="AO33" s="3">
        <v>10.132142</v>
      </c>
      <c r="AP33" s="3" t="s">
        <v>10</v>
      </c>
      <c r="AQ33" s="3">
        <v>0</v>
      </c>
      <c r="AR33" s="3" t="s">
        <v>10</v>
      </c>
      <c r="AS33" s="3" t="s">
        <v>10</v>
      </c>
      <c r="AT33" s="19">
        <v>760.79220699999996</v>
      </c>
      <c r="AU33" s="19">
        <v>652.10052900000005</v>
      </c>
      <c r="AV33" s="12">
        <f t="shared" ref="AV33:AV41" si="24">AT33/(SUM(AO33:AU33))</f>
        <v>0.5346302926687132</v>
      </c>
      <c r="AW33" s="12">
        <f t="shared" ref="AW33:AW41" si="25">AU33/(SUM(AO33:AU33))</f>
        <v>0.45824956336427447</v>
      </c>
      <c r="AX33" s="17">
        <f t="shared" ref="AX33:AX41" si="26">SUM(AO33:AU33)</f>
        <v>1423.0248780000002</v>
      </c>
      <c r="AY33" s="24">
        <f>0-'2. Diesel-battery-storage'!$M33</f>
        <v>-127.85383050000002</v>
      </c>
      <c r="AZ33" s="24">
        <f>-(AS6-'2. Diesel-battery-storage'!$G6)*AX33/AY33</f>
        <v>-99.516087948000731</v>
      </c>
      <c r="BA33" s="29">
        <f>-AZ33*AY33/1000+'2. Diesel-battery-storage'!$AJ33</f>
        <v>-113.34700697483828</v>
      </c>
      <c r="BB33" s="41">
        <f>BA33/'0. Current system'!$L33*1000</f>
        <v>-169.83945920740274</v>
      </c>
      <c r="BC33" s="4" t="s">
        <v>78</v>
      </c>
      <c r="BD33" s="16">
        <v>28.193801000000001</v>
      </c>
      <c r="BE33" s="7">
        <f t="shared" si="15"/>
        <v>0.61896536165557592</v>
      </c>
      <c r="BF33" s="1"/>
      <c r="BG33" s="2" t="s">
        <v>11</v>
      </c>
      <c r="BH33" s="3">
        <v>10.119586999999999</v>
      </c>
      <c r="BI33" s="3" t="s">
        <v>10</v>
      </c>
      <c r="BJ33" s="3">
        <v>0</v>
      </c>
      <c r="BK33" s="3" t="s">
        <v>10</v>
      </c>
      <c r="BL33" s="3" t="s">
        <v>10</v>
      </c>
      <c r="BM33" s="19">
        <v>831.03120799999999</v>
      </c>
      <c r="BN33" s="19">
        <v>664.65057200000001</v>
      </c>
      <c r="BO33" s="12">
        <f t="shared" ref="BO33:BO41" si="27">BM33/(SUM(BH33:BN33))</f>
        <v>0.55188634185905872</v>
      </c>
      <c r="BP33" s="12">
        <f t="shared" ref="BP33:BP41" si="28">BN33/(SUM(BH33:BN33))</f>
        <v>0.44139325847749744</v>
      </c>
      <c r="BQ33" s="17">
        <f t="shared" ref="BQ33:BQ41" si="29">SUM(BH33:BN33)</f>
        <v>1505.801367</v>
      </c>
      <c r="BR33" s="24">
        <f>0-'2. Diesel-battery-storage'!$M33</f>
        <v>-127.85383050000002</v>
      </c>
      <c r="BS33" s="24">
        <f>-(BL6-'2. Diesel-battery-storage'!$G6)*BQ33/BR33</f>
        <v>191.53776617519034</v>
      </c>
      <c r="BT33" s="29">
        <f>-BS33*BR33/1000+'2. Diesel-battery-storage'!$AJ33</f>
        <v>-76.13465684340008</v>
      </c>
      <c r="BU33" s="41">
        <f>BT33/'0. Current system'!$L33*1000</f>
        <v>-114.08037398018557</v>
      </c>
      <c r="BV33" s="4" t="s">
        <v>78</v>
      </c>
      <c r="BW33" s="16">
        <v>17.199382</v>
      </c>
      <c r="BX33" s="7">
        <f t="shared" si="16"/>
        <v>0.38243608783918581</v>
      </c>
      <c r="BY33" s="1"/>
      <c r="BZ33" s="2" t="s">
        <v>11</v>
      </c>
      <c r="CA33" s="3">
        <v>7.1421359999999998</v>
      </c>
      <c r="CB33" s="3" t="s">
        <v>10</v>
      </c>
      <c r="CC33" s="3">
        <v>0</v>
      </c>
      <c r="CD33" s="3" t="s">
        <v>10</v>
      </c>
      <c r="CE33" s="3" t="s">
        <v>10</v>
      </c>
      <c r="CF33" s="19">
        <v>589.61046199999998</v>
      </c>
      <c r="CG33" s="19">
        <v>629.51282000000003</v>
      </c>
      <c r="CH33" s="12">
        <f t="shared" ref="CH33:CH41" si="30">CF33/(SUM(CA33:CG33))</f>
        <v>0.48081798063068271</v>
      </c>
      <c r="CI33" s="12">
        <f t="shared" ref="CI33:CI41" si="31">CG33/(SUM(CA33:CG33))</f>
        <v>0.5133577207344846</v>
      </c>
      <c r="CJ33" s="17">
        <f t="shared" ref="CJ33:CJ41" si="32">SUM(CA33:CG33)</f>
        <v>1226.265418</v>
      </c>
      <c r="CK33" s="24" t="e">
        <f>(0-'2''. Storage - some with diesel'!#REF!)</f>
        <v>#REF!</v>
      </c>
      <c r="CL33" s="24" t="e">
        <f>-(CE6-'2''. Storage - some with diesel'!#REF!)*CJ33/CK33</f>
        <v>#REF!</v>
      </c>
      <c r="CM33" s="29" t="e">
        <f>CL33*CK33/1000+'2. Diesel-battery-storage'!$AJ33</f>
        <v>#REF!</v>
      </c>
      <c r="CN33" s="41"/>
      <c r="CO33" s="4" t="s">
        <v>78</v>
      </c>
      <c r="CP33" s="16">
        <v>44.813144000000001</v>
      </c>
      <c r="CQ33" s="7">
        <f t="shared" si="17"/>
        <v>0.97876961924211758</v>
      </c>
      <c r="CR33" s="1"/>
    </row>
    <row r="34" spans="1:96">
      <c r="A34" s="1"/>
      <c r="B34" s="2" t="s">
        <v>12</v>
      </c>
      <c r="C34" s="3" t="s">
        <v>10</v>
      </c>
      <c r="D34" s="3" t="s">
        <v>10</v>
      </c>
      <c r="E34" s="3">
        <v>0</v>
      </c>
      <c r="F34" s="19">
        <v>82.737200000000001</v>
      </c>
      <c r="G34" s="19">
        <v>44.743699999999997</v>
      </c>
      <c r="H34" s="19">
        <v>0</v>
      </c>
      <c r="I34" s="19">
        <v>0</v>
      </c>
      <c r="J34" s="12">
        <f t="shared" si="18"/>
        <v>0</v>
      </c>
      <c r="K34" s="12">
        <f t="shared" si="19"/>
        <v>0</v>
      </c>
      <c r="L34" s="17">
        <f t="shared" si="20"/>
        <v>127.48089999999999</v>
      </c>
      <c r="M34" s="24">
        <f>0-'2. Diesel-battery-storage'!$M34</f>
        <v>0</v>
      </c>
      <c r="N34" s="24"/>
      <c r="O34" s="29">
        <f>-N34*M34/1000+'2. Diesel-battery-storage'!$AJ34</f>
        <v>-2.203901399961901</v>
      </c>
      <c r="P34" s="41">
        <f>O34/'0. Current system'!$L34*1000</f>
        <v>-47.932955410785333</v>
      </c>
      <c r="Q34" s="4" t="s">
        <v>74</v>
      </c>
      <c r="R34" s="17">
        <v>14609.441027999999</v>
      </c>
      <c r="S34" s="7">
        <f t="shared" si="13"/>
        <v>2.5190247273401978</v>
      </c>
      <c r="T34" s="1"/>
      <c r="U34" s="2" t="s">
        <v>12</v>
      </c>
      <c r="V34" s="3" t="s">
        <v>10</v>
      </c>
      <c r="W34" s="3" t="s">
        <v>10</v>
      </c>
      <c r="X34" s="3">
        <v>0</v>
      </c>
      <c r="Y34" s="3">
        <v>82.737200000000001</v>
      </c>
      <c r="Z34" s="3">
        <v>44.743699999999997</v>
      </c>
      <c r="AA34" s="19">
        <v>0</v>
      </c>
      <c r="AB34" s="19">
        <v>0</v>
      </c>
      <c r="AC34" s="12">
        <f t="shared" si="21"/>
        <v>0</v>
      </c>
      <c r="AD34" s="12">
        <f t="shared" si="22"/>
        <v>0</v>
      </c>
      <c r="AE34" s="17">
        <f t="shared" si="23"/>
        <v>127.48089999999999</v>
      </c>
      <c r="AF34" s="24">
        <f>0-'2. Diesel-battery-storage'!$M34</f>
        <v>0</v>
      </c>
      <c r="AG34" s="24"/>
      <c r="AH34" s="29">
        <f>-AG34*AF34/1000+'2. Diesel-battery-storage'!$AJ34</f>
        <v>-2.203901399961901</v>
      </c>
      <c r="AI34" s="41">
        <f>AH34/'0. Current system'!$L34*1000</f>
        <v>-47.932955410785333</v>
      </c>
      <c r="AJ34" s="4" t="s">
        <v>74</v>
      </c>
      <c r="AK34" s="17">
        <v>16817.719383</v>
      </c>
      <c r="AL34" s="7">
        <f t="shared" si="14"/>
        <v>2.9441297447824737</v>
      </c>
      <c r="AM34" s="1"/>
      <c r="AN34" s="2" t="s">
        <v>12</v>
      </c>
      <c r="AO34" s="3" t="s">
        <v>10</v>
      </c>
      <c r="AP34" s="3" t="s">
        <v>10</v>
      </c>
      <c r="AQ34" s="3">
        <v>0</v>
      </c>
      <c r="AR34" s="3">
        <v>82.737200000000001</v>
      </c>
      <c r="AS34" s="3">
        <v>44.743699999999997</v>
      </c>
      <c r="AT34" s="19">
        <v>0</v>
      </c>
      <c r="AU34" s="19">
        <v>0</v>
      </c>
      <c r="AV34" s="12">
        <f t="shared" si="24"/>
        <v>0</v>
      </c>
      <c r="AW34" s="12">
        <f t="shared" si="25"/>
        <v>0</v>
      </c>
      <c r="AX34" s="17">
        <f t="shared" si="26"/>
        <v>127.48089999999999</v>
      </c>
      <c r="AY34" s="24">
        <f>0-'2. Diesel-battery-storage'!$M34</f>
        <v>0</v>
      </c>
      <c r="AZ34" s="24"/>
      <c r="BA34" s="29">
        <f>-AZ34*AY34/1000+'2. Diesel-battery-storage'!$AJ34</f>
        <v>-2.203901399961901</v>
      </c>
      <c r="BB34" s="41">
        <f>BA34/'0. Current system'!$L34*1000</f>
        <v>-47.932955410785333</v>
      </c>
      <c r="BC34" s="4" t="s">
        <v>74</v>
      </c>
      <c r="BD34" s="17">
        <v>15886.516023</v>
      </c>
      <c r="BE34" s="7">
        <f t="shared" si="15"/>
        <v>2.7851119715423143</v>
      </c>
      <c r="BF34" s="1"/>
      <c r="BG34" s="2" t="s">
        <v>12</v>
      </c>
      <c r="BH34" s="3" t="s">
        <v>10</v>
      </c>
      <c r="BI34" s="3" t="s">
        <v>10</v>
      </c>
      <c r="BJ34" s="3">
        <v>0</v>
      </c>
      <c r="BK34" s="19">
        <v>82.737200000000001</v>
      </c>
      <c r="BL34" s="19">
        <v>44.743699999999997</v>
      </c>
      <c r="BM34" s="19">
        <v>0</v>
      </c>
      <c r="BN34" s="19">
        <v>0</v>
      </c>
      <c r="BO34" s="12">
        <f t="shared" si="27"/>
        <v>0</v>
      </c>
      <c r="BP34" s="12">
        <f t="shared" si="28"/>
        <v>0</v>
      </c>
      <c r="BQ34" s="17">
        <f t="shared" si="29"/>
        <v>127.48089999999999</v>
      </c>
      <c r="BR34" s="24">
        <f>0-'2. Diesel-battery-storage'!$M34</f>
        <v>0</v>
      </c>
      <c r="BS34" s="24"/>
      <c r="BT34" s="29">
        <f>-BS34*BR34/1000+'2. Diesel-battery-storage'!$AJ34</f>
        <v>-2.203901399961901</v>
      </c>
      <c r="BU34" s="41">
        <f>BT34/'0. Current system'!$L34*1000</f>
        <v>-47.932955410785333</v>
      </c>
      <c r="BV34" s="4" t="s">
        <v>74</v>
      </c>
      <c r="BW34" s="17">
        <v>12570.654227999999</v>
      </c>
      <c r="BX34" s="7">
        <f t="shared" si="16"/>
        <v>2.3663343783770796</v>
      </c>
      <c r="BY34" s="1"/>
      <c r="BZ34" s="2" t="s">
        <v>12</v>
      </c>
      <c r="CA34" s="3" t="s">
        <v>10</v>
      </c>
      <c r="CB34" s="3" t="s">
        <v>10</v>
      </c>
      <c r="CC34" s="3">
        <v>0</v>
      </c>
      <c r="CD34" s="3">
        <v>82.737200000000001</v>
      </c>
      <c r="CE34" s="3">
        <v>44.743699999999997</v>
      </c>
      <c r="CF34" s="19">
        <v>0</v>
      </c>
      <c r="CG34" s="19">
        <v>0</v>
      </c>
      <c r="CH34" s="12">
        <f t="shared" si="30"/>
        <v>0</v>
      </c>
      <c r="CI34" s="12">
        <f t="shared" si="31"/>
        <v>0</v>
      </c>
      <c r="CJ34" s="17">
        <f t="shared" si="32"/>
        <v>127.48089999999999</v>
      </c>
      <c r="CK34" s="24" t="e">
        <f>(0-'2''. Storage - some with diesel'!#REF!)</f>
        <v>#REF!</v>
      </c>
      <c r="CL34" s="24"/>
      <c r="CM34" s="28" t="e">
        <f>'2''. Storage - some with diesel'!#REF!</f>
        <v>#REF!</v>
      </c>
      <c r="CN34" s="41"/>
      <c r="CO34" s="4" t="s">
        <v>74</v>
      </c>
      <c r="CP34" s="17">
        <v>6986.6908059999996</v>
      </c>
      <c r="CQ34" s="7">
        <f t="shared" si="17"/>
        <v>1.3734980707033657</v>
      </c>
      <c r="CR34" s="1"/>
    </row>
    <row r="35" spans="1:96">
      <c r="A35" s="1"/>
      <c r="B35" s="2" t="s">
        <v>13</v>
      </c>
      <c r="C35" s="3">
        <v>5.6657060000000001</v>
      </c>
      <c r="D35" s="3">
        <v>0</v>
      </c>
      <c r="E35" s="3">
        <v>0</v>
      </c>
      <c r="F35" s="19">
        <v>284.00199600000002</v>
      </c>
      <c r="G35" s="19">
        <v>21.955425000000002</v>
      </c>
      <c r="H35" s="19">
        <v>790.73904800000003</v>
      </c>
      <c r="I35" s="19">
        <v>1179.5463319999999</v>
      </c>
      <c r="J35" s="12">
        <f t="shared" si="18"/>
        <v>0.34652530790534453</v>
      </c>
      <c r="K35" s="12">
        <f t="shared" si="19"/>
        <v>0.51691219362284446</v>
      </c>
      <c r="L35" s="17">
        <f t="shared" si="20"/>
        <v>2281.9085070000001</v>
      </c>
      <c r="M35" s="24">
        <f>0-'2. Diesel-battery-storage'!$M35</f>
        <v>-116.09560578000001</v>
      </c>
      <c r="N35" s="24">
        <f>-(G8-'2. Diesel-battery-storage'!$G8)*L35/M35</f>
        <v>137.08069022440492</v>
      </c>
      <c r="O35" s="29">
        <f>-N35*M35/1000+'2. Diesel-battery-storage'!$AJ35</f>
        <v>-148.61312610326473</v>
      </c>
      <c r="P35" s="41">
        <f>O35/'0. Current system'!$L35*1000</f>
        <v>-147.71070270836918</v>
      </c>
      <c r="Q35" s="4" t="s">
        <v>76</v>
      </c>
      <c r="R35" s="17">
        <v>728.29917899999998</v>
      </c>
      <c r="S35" s="7">
        <f t="shared" si="13"/>
        <v>0.95534272808738774</v>
      </c>
      <c r="T35" s="1"/>
      <c r="U35" s="2" t="s">
        <v>13</v>
      </c>
      <c r="V35" s="3">
        <v>3.26</v>
      </c>
      <c r="W35" s="3">
        <v>0</v>
      </c>
      <c r="X35" s="3">
        <v>0</v>
      </c>
      <c r="Y35" s="3">
        <v>277.30535099999997</v>
      </c>
      <c r="Z35" s="3">
        <v>19.725577000000001</v>
      </c>
      <c r="AA35" s="19">
        <v>1167.1662060000001</v>
      </c>
      <c r="AB35" s="19">
        <v>721.83165599999995</v>
      </c>
      <c r="AC35" s="12">
        <f t="shared" si="21"/>
        <v>0.53312573988925416</v>
      </c>
      <c r="AD35" s="12">
        <f t="shared" si="22"/>
        <v>0.32971057052733549</v>
      </c>
      <c r="AE35" s="17">
        <f t="shared" si="23"/>
        <v>2189.2887900000001</v>
      </c>
      <c r="AF35" s="24">
        <f>0-'2. Diesel-battery-storage'!$M35</f>
        <v>-116.09560578000001</v>
      </c>
      <c r="AG35" s="24">
        <f>-(Z8-'2. Diesel-battery-storage'!$G8)*AE35/AF35</f>
        <v>183.97027892496811</v>
      </c>
      <c r="AH35" s="29">
        <f>-AG35*AF35/1000+'2. Diesel-battery-storage'!$AJ35</f>
        <v>-143.16945089829781</v>
      </c>
      <c r="AI35" s="41">
        <f>AH35/'0. Current system'!$L35*1000</f>
        <v>-142.30008312902555</v>
      </c>
      <c r="AJ35" s="4" t="s">
        <v>76</v>
      </c>
      <c r="AK35" s="17">
        <v>729.03910599999995</v>
      </c>
      <c r="AL35" s="7">
        <f t="shared" si="14"/>
        <v>0.95538823015789631</v>
      </c>
      <c r="AM35" s="1"/>
      <c r="AN35" s="2" t="s">
        <v>13</v>
      </c>
      <c r="AO35" s="3">
        <v>3.232218</v>
      </c>
      <c r="AP35" s="3">
        <v>0</v>
      </c>
      <c r="AQ35" s="3">
        <v>0</v>
      </c>
      <c r="AR35" s="3">
        <v>273.241265</v>
      </c>
      <c r="AS35" s="3">
        <v>18.670092</v>
      </c>
      <c r="AT35" s="19">
        <v>1032.831938</v>
      </c>
      <c r="AU35" s="19">
        <v>894.76391699999999</v>
      </c>
      <c r="AV35" s="12">
        <f t="shared" si="24"/>
        <v>0.46466622405668129</v>
      </c>
      <c r="AW35" s="12">
        <f t="shared" si="25"/>
        <v>0.40255007173737856</v>
      </c>
      <c r="AX35" s="17">
        <f t="shared" si="26"/>
        <v>2222.7394300000001</v>
      </c>
      <c r="AY35" s="24">
        <f>0-'2. Diesel-battery-storage'!$M35</f>
        <v>-116.09560578000001</v>
      </c>
      <c r="AZ35" s="24">
        <f>-(AS8-'2. Diesel-battery-storage'!$G8)*AX35/AY35</f>
        <v>171.84114780967843</v>
      </c>
      <c r="BA35" s="29">
        <f>-AZ35*AY35/1000+'2. Diesel-battery-storage'!$AJ35</f>
        <v>-144.57758972271242</v>
      </c>
      <c r="BB35" s="41">
        <f>BA35/'0. Current system'!$L35*1000</f>
        <v>-143.69967131291648</v>
      </c>
      <c r="BC35" s="4" t="s">
        <v>76</v>
      </c>
      <c r="BD35" s="17">
        <v>570.78943200000003</v>
      </c>
      <c r="BE35" s="7">
        <f t="shared" si="15"/>
        <v>0.7506397885985816</v>
      </c>
      <c r="BF35" s="1"/>
      <c r="BG35" s="2" t="s">
        <v>13</v>
      </c>
      <c r="BH35" s="3">
        <v>14.190077</v>
      </c>
      <c r="BI35" s="3">
        <v>0</v>
      </c>
      <c r="BJ35" s="3">
        <v>0</v>
      </c>
      <c r="BK35" s="19">
        <v>285.717759</v>
      </c>
      <c r="BL35" s="19">
        <v>24.707895000000001</v>
      </c>
      <c r="BM35" s="19">
        <v>862.01481200000001</v>
      </c>
      <c r="BN35" s="19">
        <v>1021.68498</v>
      </c>
      <c r="BO35" s="12">
        <f t="shared" si="27"/>
        <v>0.39034947815290066</v>
      </c>
      <c r="BP35" s="12">
        <f t="shared" si="28"/>
        <v>0.46265353359108724</v>
      </c>
      <c r="BQ35" s="17">
        <f t="shared" si="29"/>
        <v>2208.3155230000002</v>
      </c>
      <c r="BR35" s="24">
        <f>0-'2. Diesel-battery-storage'!$M35</f>
        <v>-116.09560578000001</v>
      </c>
      <c r="BS35" s="24">
        <f>-(BL8-'2. Diesel-battery-storage'!$G8)*BQ35/BR35</f>
        <v>559.92871346192226</v>
      </c>
      <c r="BT35" s="29">
        <f>-BS35*BR35/1000+'2. Diesel-battery-storage'!$AJ35</f>
        <v>-99.522328692629642</v>
      </c>
      <c r="BU35" s="41">
        <f>BT35/'0. Current system'!$L35*1000</f>
        <v>-98.917999316876475</v>
      </c>
      <c r="BV35" s="4" t="s">
        <v>76</v>
      </c>
      <c r="BW35" s="17">
        <v>281.43282399999998</v>
      </c>
      <c r="BX35" s="7">
        <f t="shared" si="16"/>
        <v>0.3753177416598602</v>
      </c>
      <c r="BY35" s="1"/>
      <c r="BZ35" s="2" t="s">
        <v>13</v>
      </c>
      <c r="CA35" s="3">
        <v>3.676472</v>
      </c>
      <c r="CB35" s="3">
        <v>0</v>
      </c>
      <c r="CC35" s="3">
        <v>0</v>
      </c>
      <c r="CD35" s="3">
        <v>79.186935000000005</v>
      </c>
      <c r="CE35" s="3">
        <v>7.7995089999999996</v>
      </c>
      <c r="CF35" s="19">
        <v>590.592761</v>
      </c>
      <c r="CG35" s="19">
        <v>1372.397894</v>
      </c>
      <c r="CH35" s="12">
        <f t="shared" si="30"/>
        <v>0.28758149346114814</v>
      </c>
      <c r="CI35" s="12">
        <f t="shared" si="31"/>
        <v>0.66827137418884563</v>
      </c>
      <c r="CJ35" s="17">
        <f t="shared" si="32"/>
        <v>2053.6535709999998</v>
      </c>
      <c r="CK35" s="24" t="e">
        <f>(0-'2''. Storage - some with diesel'!#REF!)</f>
        <v>#REF!</v>
      </c>
      <c r="CL35" s="24" t="e">
        <f>-(CE8-'2''. Storage - some with diesel'!#REF!)*CJ35/CK35</f>
        <v>#REF!</v>
      </c>
      <c r="CM35" s="29" t="e">
        <f>CL35*CK35/1000+'2. Diesel-battery-storage'!$AJ35</f>
        <v>#REF!</v>
      </c>
      <c r="CN35" s="41"/>
      <c r="CO35" s="4" t="s">
        <v>76</v>
      </c>
      <c r="CP35" s="17">
        <v>1756.7375669999999</v>
      </c>
      <c r="CQ35" s="7">
        <f t="shared" si="17"/>
        <v>2.3074670993637914</v>
      </c>
      <c r="CR35" s="1"/>
    </row>
    <row r="36" spans="1:96">
      <c r="A36" s="1"/>
      <c r="B36" s="2" t="s">
        <v>14</v>
      </c>
      <c r="C36" s="3" t="s">
        <v>10</v>
      </c>
      <c r="D36" s="3" t="s">
        <v>10</v>
      </c>
      <c r="E36" s="3">
        <v>0</v>
      </c>
      <c r="F36" s="19">
        <v>84.063955000000007</v>
      </c>
      <c r="G36" s="19">
        <v>0</v>
      </c>
      <c r="H36" s="19">
        <v>58.571313000000004</v>
      </c>
      <c r="I36" s="19">
        <v>161.38359700000001</v>
      </c>
      <c r="J36" s="12">
        <f t="shared" si="18"/>
        <v>0.19265683726567429</v>
      </c>
      <c r="K36" s="12">
        <f t="shared" si="19"/>
        <v>0.53083415399238465</v>
      </c>
      <c r="L36" s="17">
        <f t="shared" si="20"/>
        <v>304.01886500000001</v>
      </c>
      <c r="M36" s="24">
        <f>0-'2. Diesel-battery-storage'!$M36</f>
        <v>-35.089674840000001</v>
      </c>
      <c r="N36" s="24">
        <f>-(G9-'2. Diesel-battery-storage'!$G9)*L36/M36</f>
        <v>-27.846497325949326</v>
      </c>
      <c r="O36" s="29">
        <f>-N36*M36/1000+'2. Diesel-battery-storage'!$AJ36</f>
        <v>-29.932512491641923</v>
      </c>
      <c r="P36" s="41">
        <f>O36/'0. Current system'!$L36*1000</f>
        <v>-176.37450693080973</v>
      </c>
      <c r="Q36" s="4" t="s">
        <v>77</v>
      </c>
      <c r="R36" s="17">
        <v>915.62046999999995</v>
      </c>
      <c r="S36" s="7">
        <f t="shared" si="13"/>
        <v>1.6979022827194816</v>
      </c>
      <c r="T36" s="1"/>
      <c r="U36" s="2" t="s">
        <v>14</v>
      </c>
      <c r="V36" s="3" t="s">
        <v>10</v>
      </c>
      <c r="W36" s="3" t="s">
        <v>10</v>
      </c>
      <c r="X36" s="3">
        <v>0</v>
      </c>
      <c r="Y36" s="3">
        <v>83.931455999999997</v>
      </c>
      <c r="Z36" s="3">
        <v>0</v>
      </c>
      <c r="AA36" s="19">
        <v>58.689492999999999</v>
      </c>
      <c r="AB36" s="19">
        <v>161.292686</v>
      </c>
      <c r="AC36" s="12">
        <f t="shared" si="21"/>
        <v>0.19311240510811567</v>
      </c>
      <c r="AD36" s="12">
        <f t="shared" si="22"/>
        <v>0.53071882082552824</v>
      </c>
      <c r="AE36" s="17">
        <f t="shared" si="23"/>
        <v>303.913635</v>
      </c>
      <c r="AF36" s="24">
        <f>0-'2. Diesel-battery-storage'!$M36</f>
        <v>-35.089674840000001</v>
      </c>
      <c r="AG36" s="24">
        <f>-(Z9-'2. Diesel-battery-storage'!$G9)*AE36/AF36</f>
        <v>-28.371375886723204</v>
      </c>
      <c r="AH36" s="29">
        <f>-AG36*AF36/1000+'2. Diesel-battery-storage'!$AJ36</f>
        <v>-29.950930309669964</v>
      </c>
      <c r="AI36" s="41">
        <f>AH36/'0. Current system'!$L36*1000</f>
        <v>-176.48303218656113</v>
      </c>
      <c r="AJ36" s="4" t="s">
        <v>77</v>
      </c>
      <c r="AK36" s="17">
        <v>915.723657</v>
      </c>
      <c r="AL36" s="7">
        <f t="shared" si="14"/>
        <v>1.6980425330426072</v>
      </c>
      <c r="AM36" s="1"/>
      <c r="AN36" s="2" t="s">
        <v>14</v>
      </c>
      <c r="AO36" s="3" t="s">
        <v>10</v>
      </c>
      <c r="AP36" s="3" t="s">
        <v>10</v>
      </c>
      <c r="AQ36" s="3">
        <v>0</v>
      </c>
      <c r="AR36" s="3">
        <v>92.793509</v>
      </c>
      <c r="AS36" s="3">
        <v>0</v>
      </c>
      <c r="AT36" s="19">
        <v>57.950001999999998</v>
      </c>
      <c r="AU36" s="19">
        <v>144.438692</v>
      </c>
      <c r="AV36" s="12">
        <f t="shared" si="24"/>
        <v>0.1963194305450725</v>
      </c>
      <c r="AW36" s="12">
        <f t="shared" si="25"/>
        <v>0.48932046218247105</v>
      </c>
      <c r="AX36" s="17">
        <f t="shared" si="26"/>
        <v>295.18220300000002</v>
      </c>
      <c r="AY36" s="24">
        <f>0-'2. Diesel-battery-storage'!$M36</f>
        <v>-35.089674840000001</v>
      </c>
      <c r="AZ36" s="24">
        <f>-(AS9-'2. Diesel-battery-storage'!$G9)*AX36/AY36</f>
        <v>-2.7752010925133144</v>
      </c>
      <c r="BA36" s="29">
        <f>-AZ36*AY36/1000+'2. Diesel-battery-storage'!$AJ36</f>
        <v>-29.052768858993335</v>
      </c>
      <c r="BB36" s="41">
        <f>BA36/'0. Current system'!$L36*1000</f>
        <v>-171.19070054378358</v>
      </c>
      <c r="BC36" s="4" t="s">
        <v>77</v>
      </c>
      <c r="BD36" s="17">
        <v>880.52516700000001</v>
      </c>
      <c r="BE36" s="7">
        <f t="shared" si="15"/>
        <v>1.6408932340719395</v>
      </c>
      <c r="BF36" s="1"/>
      <c r="BG36" s="2" t="s">
        <v>14</v>
      </c>
      <c r="BH36" s="3" t="s">
        <v>10</v>
      </c>
      <c r="BI36" s="3" t="s">
        <v>10</v>
      </c>
      <c r="BJ36" s="3">
        <v>0</v>
      </c>
      <c r="BK36" s="19">
        <v>117.292157</v>
      </c>
      <c r="BL36" s="19">
        <v>0</v>
      </c>
      <c r="BM36" s="19">
        <v>57.339764000000002</v>
      </c>
      <c r="BN36" s="19">
        <v>100.87479399999999</v>
      </c>
      <c r="BO36" s="12">
        <f t="shared" si="27"/>
        <v>0.20812474207752071</v>
      </c>
      <c r="BP36" s="12">
        <f t="shared" si="28"/>
        <v>0.366142778044448</v>
      </c>
      <c r="BQ36" s="17">
        <f t="shared" si="29"/>
        <v>275.50671499999999</v>
      </c>
      <c r="BR36" s="24">
        <f>0-'2. Diesel-battery-storage'!$M36</f>
        <v>-35.089674840000001</v>
      </c>
      <c r="BS36" s="24">
        <f>-(BL9-'2. Diesel-battery-storage'!$G9)*BQ36/BR36</f>
        <v>131.98603994484662</v>
      </c>
      <c r="BT36" s="29">
        <f>-BS36*BR36/1000+'2. Diesel-battery-storage'!$AJ36</f>
        <v>-24.32404072995751</v>
      </c>
      <c r="BU36" s="41">
        <f>BT36/'0. Current system'!$L36*1000</f>
        <v>-143.32711600835808</v>
      </c>
      <c r="BV36" s="4" t="s">
        <v>77</v>
      </c>
      <c r="BW36" s="17">
        <v>309.433312</v>
      </c>
      <c r="BX36" s="7">
        <f t="shared" si="16"/>
        <v>0.61014099924146692</v>
      </c>
      <c r="BY36" s="1"/>
      <c r="BZ36" s="2" t="s">
        <v>14</v>
      </c>
      <c r="CA36" s="3" t="s">
        <v>10</v>
      </c>
      <c r="CB36" s="3" t="s">
        <v>10</v>
      </c>
      <c r="CC36" s="3">
        <v>0</v>
      </c>
      <c r="CD36" s="3">
        <v>0</v>
      </c>
      <c r="CE36" s="3">
        <v>0</v>
      </c>
      <c r="CF36" s="19">
        <v>62.287049000000003</v>
      </c>
      <c r="CG36" s="19">
        <v>204.968703</v>
      </c>
      <c r="CH36" s="12">
        <f t="shared" si="30"/>
        <v>0.23306158439575886</v>
      </c>
      <c r="CI36" s="12">
        <f t="shared" si="31"/>
        <v>0.76693841560424103</v>
      </c>
      <c r="CJ36" s="17">
        <f t="shared" si="32"/>
        <v>267.25575200000003</v>
      </c>
      <c r="CK36" s="24" t="e">
        <f>(0-'2''. Storage - some with diesel'!#REF!)</f>
        <v>#REF!</v>
      </c>
      <c r="CL36" s="24"/>
      <c r="CM36" s="28" t="e">
        <f>CL36*CK36/1000+'2. Diesel-battery-storage'!$AJ36</f>
        <v>#REF!</v>
      </c>
      <c r="CN36" s="41"/>
      <c r="CO36" s="4" t="s">
        <v>77</v>
      </c>
      <c r="CP36" s="17">
        <v>388.03484500000002</v>
      </c>
      <c r="CQ36" s="7">
        <f t="shared" si="17"/>
        <v>0.76398030243275983</v>
      </c>
      <c r="CR36" s="1"/>
    </row>
    <row r="37" spans="1:96">
      <c r="A37" s="1"/>
      <c r="B37" s="2" t="s">
        <v>15</v>
      </c>
      <c r="C37" s="3" t="s">
        <v>10</v>
      </c>
      <c r="D37" s="3" t="s">
        <v>10</v>
      </c>
      <c r="E37" s="3">
        <v>0</v>
      </c>
      <c r="F37" s="19">
        <v>23.256143999999999</v>
      </c>
      <c r="G37" s="19" t="s">
        <v>10</v>
      </c>
      <c r="H37" s="19">
        <v>221.42039500000001</v>
      </c>
      <c r="I37" s="19">
        <v>359.97285799999997</v>
      </c>
      <c r="J37" s="12">
        <f t="shared" si="18"/>
        <v>0.36619633807391361</v>
      </c>
      <c r="K37" s="12">
        <f t="shared" si="19"/>
        <v>0.59534146529546605</v>
      </c>
      <c r="L37" s="17">
        <f t="shared" si="20"/>
        <v>604.64939700000002</v>
      </c>
      <c r="M37" s="24">
        <f>0-'2. Diesel-battery-storage'!$M37</f>
        <v>-44.831072880000001</v>
      </c>
      <c r="N37" s="24">
        <f>-(G10-'2. Diesel-battery-storage'!$G10)*L37/M37</f>
        <v>-196.88171578972617</v>
      </c>
      <c r="O37" s="29">
        <f>-N37*M37/1000+'2. Diesel-battery-storage'!$AJ37</f>
        <v>-59.111898141751865</v>
      </c>
      <c r="P37" s="41">
        <f>O37/'0. Current system'!$L37*1000</f>
        <v>-195.01140087120061</v>
      </c>
      <c r="Q37" s="12"/>
      <c r="R37" s="12"/>
      <c r="S37" s="12"/>
      <c r="T37" s="1"/>
      <c r="U37" s="2" t="s">
        <v>15</v>
      </c>
      <c r="V37" s="3" t="s">
        <v>10</v>
      </c>
      <c r="W37" s="3" t="s">
        <v>10</v>
      </c>
      <c r="X37" s="3">
        <v>0</v>
      </c>
      <c r="Y37" s="3">
        <v>0</v>
      </c>
      <c r="Z37" s="3" t="s">
        <v>10</v>
      </c>
      <c r="AA37" s="19">
        <v>253.20943600000001</v>
      </c>
      <c r="AB37" s="19">
        <v>345.60870599999998</v>
      </c>
      <c r="AC37" s="12">
        <f t="shared" si="21"/>
        <v>0.42284863841015696</v>
      </c>
      <c r="AD37" s="12">
        <f t="shared" si="22"/>
        <v>0.57715136158984304</v>
      </c>
      <c r="AE37" s="17">
        <f t="shared" si="23"/>
        <v>598.81814199999997</v>
      </c>
      <c r="AF37" s="24">
        <f>0-'2. Diesel-battery-storage'!$M37</f>
        <v>-44.831072880000001</v>
      </c>
      <c r="AG37" s="24">
        <f>-(Z10-'2. Diesel-battery-storage'!$G10)*AE37/AF37</f>
        <v>-191.11562959781691</v>
      </c>
      <c r="AH37" s="29">
        <f>-AG37*AF37/1000+'2. Diesel-battery-storage'!$AJ37</f>
        <v>-58.853398311450022</v>
      </c>
      <c r="AI37" s="41">
        <f>AH37/'0. Current system'!$L37*1000</f>
        <v>-194.15860446951439</v>
      </c>
      <c r="AJ37" s="41"/>
      <c r="AK37" s="41"/>
      <c r="AL37" s="41"/>
      <c r="AM37" s="1"/>
      <c r="AN37" s="2" t="s">
        <v>15</v>
      </c>
      <c r="AO37" s="3" t="s">
        <v>10</v>
      </c>
      <c r="AP37" s="3" t="s">
        <v>10</v>
      </c>
      <c r="AQ37" s="3">
        <v>0</v>
      </c>
      <c r="AR37" s="3">
        <v>0</v>
      </c>
      <c r="AS37" s="3" t="s">
        <v>10</v>
      </c>
      <c r="AT37" s="19">
        <v>234.45431400000001</v>
      </c>
      <c r="AU37" s="19">
        <v>379.233026</v>
      </c>
      <c r="AV37" s="12">
        <f t="shared" si="24"/>
        <v>0.38204195967281979</v>
      </c>
      <c r="AW37" s="12">
        <f t="shared" si="25"/>
        <v>0.61795804032718038</v>
      </c>
      <c r="AX37" s="17">
        <f t="shared" si="26"/>
        <v>613.68733999999995</v>
      </c>
      <c r="AY37" s="24">
        <f>0-'2. Diesel-battery-storage'!$M37</f>
        <v>-44.831072880000001</v>
      </c>
      <c r="AZ37" s="24">
        <f>-(AS10-'2. Diesel-battery-storage'!$G10)*AX37/AY37</f>
        <v>-216.65520701961697</v>
      </c>
      <c r="BA37" s="29">
        <f>-AZ37*AY37/1000+'2. Diesel-battery-storage'!$AJ37</f>
        <v>-59.998364968171138</v>
      </c>
      <c r="BB37" s="41">
        <f>BA37/'0. Current system'!$L37*1000</f>
        <v>-197.93587366060964</v>
      </c>
      <c r="BC37" s="12"/>
      <c r="BD37" s="12"/>
      <c r="BE37" s="12"/>
      <c r="BF37" s="1"/>
      <c r="BG37" s="2" t="s">
        <v>15</v>
      </c>
      <c r="BH37" s="3" t="s">
        <v>10</v>
      </c>
      <c r="BI37" s="3" t="s">
        <v>10</v>
      </c>
      <c r="BJ37" s="3">
        <v>0</v>
      </c>
      <c r="BK37" s="19">
        <v>171.78618</v>
      </c>
      <c r="BL37" s="19" t="s">
        <v>10</v>
      </c>
      <c r="BM37" s="19">
        <v>162.44461699999999</v>
      </c>
      <c r="BN37" s="19">
        <v>161.59729799999999</v>
      </c>
      <c r="BO37" s="12">
        <f t="shared" si="27"/>
        <v>0.32762285686937526</v>
      </c>
      <c r="BP37" s="12">
        <f t="shared" si="28"/>
        <v>0.32591396015992197</v>
      </c>
      <c r="BQ37" s="17">
        <f t="shared" si="29"/>
        <v>495.82809499999996</v>
      </c>
      <c r="BR37" s="24">
        <f>0-'2. Diesel-battery-storage'!$M37</f>
        <v>-44.831072880000001</v>
      </c>
      <c r="BS37" s="24">
        <f>-(BL10-'2. Diesel-battery-storage'!$G10)*BQ37/BR37</f>
        <v>205.09708728988437</v>
      </c>
      <c r="BT37" s="29">
        <f>-BS37*BR37/1000+'2. Diesel-battery-storage'!$AJ37</f>
        <v>-41.090757124674674</v>
      </c>
      <c r="BU37" s="41">
        <f>BT37/'0. Current system'!$L37*1000</f>
        <v>-135.55927590965354</v>
      </c>
      <c r="BV37" s="12"/>
      <c r="BW37" s="12"/>
      <c r="BX37" s="12"/>
      <c r="BY37" s="1"/>
      <c r="BZ37" s="2" t="s">
        <v>15</v>
      </c>
      <c r="CA37" s="3" t="s">
        <v>10</v>
      </c>
      <c r="CB37" s="3" t="s">
        <v>10</v>
      </c>
      <c r="CC37" s="3">
        <v>0</v>
      </c>
      <c r="CD37" s="3">
        <v>0</v>
      </c>
      <c r="CE37" s="3" t="s">
        <v>10</v>
      </c>
      <c r="CF37" s="19">
        <v>115.83304200000001</v>
      </c>
      <c r="CG37" s="19">
        <v>365.33767399999999</v>
      </c>
      <c r="CH37" s="12">
        <f t="shared" si="30"/>
        <v>0.24073169490223095</v>
      </c>
      <c r="CI37" s="12">
        <f t="shared" si="31"/>
        <v>0.7592683050977691</v>
      </c>
      <c r="CJ37" s="17">
        <f t="shared" si="32"/>
        <v>481.17071599999997</v>
      </c>
      <c r="CK37" s="24" t="e">
        <f>(0-'2''. Storage - some with diesel'!#REF!)</f>
        <v>#REF!</v>
      </c>
      <c r="CL37" s="24"/>
      <c r="CM37" s="28" t="e">
        <f>'2''. Storage - some with diesel'!#REF!</f>
        <v>#REF!</v>
      </c>
      <c r="CN37" s="41"/>
      <c r="CO37" s="41"/>
      <c r="CP37" s="41"/>
      <c r="CQ37" s="41"/>
      <c r="CR37" s="1"/>
    </row>
    <row r="38" spans="1:96">
      <c r="A38" s="1"/>
      <c r="B38" s="2" t="s">
        <v>16</v>
      </c>
      <c r="C38" s="3" t="s">
        <v>10</v>
      </c>
      <c r="D38" s="3" t="s">
        <v>10</v>
      </c>
      <c r="E38" s="3">
        <v>0</v>
      </c>
      <c r="F38" s="19">
        <v>9.6098909999999993</v>
      </c>
      <c r="G38" s="19" t="s">
        <v>10</v>
      </c>
      <c r="H38" s="19">
        <v>4.1001560000000001</v>
      </c>
      <c r="I38" s="19">
        <v>2.9952350000000001</v>
      </c>
      <c r="J38" s="12">
        <f t="shared" si="18"/>
        <v>0.24544069354830406</v>
      </c>
      <c r="K38" s="12">
        <f t="shared" si="19"/>
        <v>0.17929867930394711</v>
      </c>
      <c r="L38" s="17">
        <f t="shared" si="20"/>
        <v>16.705282</v>
      </c>
      <c r="M38" s="24">
        <f>0-'2. Diesel-battery-storage'!$M38</f>
        <v>-0.24791382000000001</v>
      </c>
      <c r="N38" s="24">
        <f>-(G11-'2. Diesel-battery-storage'!$G11)*L38/M38</f>
        <v>586.00412288626751</v>
      </c>
      <c r="O38" s="29">
        <f>-N38*M38/1000+'2. Diesel-battery-storage'!$AJ38</f>
        <v>-1.2524430885080517</v>
      </c>
      <c r="P38" s="41">
        <f>O38/'0. Current system'!$L38*1000</f>
        <v>-129.86441542150499</v>
      </c>
      <c r="Q38" s="12"/>
      <c r="R38" s="12"/>
      <c r="S38" s="12"/>
      <c r="T38" s="1"/>
      <c r="U38" s="2" t="s">
        <v>16</v>
      </c>
      <c r="V38" s="3" t="s">
        <v>10</v>
      </c>
      <c r="W38" s="3" t="s">
        <v>10</v>
      </c>
      <c r="X38" s="3">
        <v>0</v>
      </c>
      <c r="Y38" s="3">
        <v>9.4238009999999992</v>
      </c>
      <c r="Z38" s="3" t="s">
        <v>10</v>
      </c>
      <c r="AA38" s="19">
        <v>4.4306070000000002</v>
      </c>
      <c r="AB38" s="19">
        <v>2.8464299999999998</v>
      </c>
      <c r="AC38" s="12">
        <f t="shared" si="21"/>
        <v>0.2652924961010939</v>
      </c>
      <c r="AD38" s="12">
        <f t="shared" si="22"/>
        <v>0.17043635774444374</v>
      </c>
      <c r="AE38" s="17">
        <f t="shared" si="23"/>
        <v>16.700837999999997</v>
      </c>
      <c r="AF38" s="24">
        <f>0-'2. Diesel-battery-storage'!$M38</f>
        <v>-0.24791382000000001</v>
      </c>
      <c r="AG38" s="24">
        <f>-(Z11-'2. Diesel-battery-storage'!$G11)*AE38/AF38</f>
        <v>579.62083054732432</v>
      </c>
      <c r="AH38" s="29">
        <f>-AG38*AF38/1000+'2. Diesel-battery-storage'!$AJ38</f>
        <v>-1.254025594895976</v>
      </c>
      <c r="AI38" s="41">
        <f>AH38/'0. Current system'!$L38*1000</f>
        <v>-130.02850372927264</v>
      </c>
      <c r="AJ38" s="41"/>
      <c r="AK38" s="41"/>
      <c r="AL38" s="41"/>
      <c r="AM38" s="1"/>
      <c r="AN38" s="2" t="s">
        <v>16</v>
      </c>
      <c r="AO38" s="3" t="s">
        <v>10</v>
      </c>
      <c r="AP38" s="3" t="s">
        <v>10</v>
      </c>
      <c r="AQ38" s="3">
        <v>0</v>
      </c>
      <c r="AR38" s="3">
        <v>9.9022959999999998</v>
      </c>
      <c r="AS38" s="3" t="s">
        <v>10</v>
      </c>
      <c r="AT38" s="19">
        <v>3.9213040000000001</v>
      </c>
      <c r="AU38" s="19">
        <v>2.802108</v>
      </c>
      <c r="AV38" s="12">
        <f t="shared" si="24"/>
        <v>0.2358578654214305</v>
      </c>
      <c r="AW38" s="12">
        <f t="shared" si="25"/>
        <v>0.16854067207243145</v>
      </c>
      <c r="AX38" s="17">
        <f t="shared" si="26"/>
        <v>16.625707999999999</v>
      </c>
      <c r="AY38" s="24">
        <f>0-'2. Diesel-battery-storage'!$M38</f>
        <v>-0.24791382000000001</v>
      </c>
      <c r="AZ38" s="24">
        <f>-(AS11-'2. Diesel-battery-storage'!$G11)*AX38/AY38</f>
        <v>630.10106972288997</v>
      </c>
      <c r="BA38" s="29">
        <f>-AZ38*AY38/1000+'2. Diesel-battery-storage'!$AJ38</f>
        <v>-1.2415108459674478</v>
      </c>
      <c r="BB38" s="41">
        <f>BA38/'0. Current system'!$L38*1000</f>
        <v>-128.73086348624471</v>
      </c>
      <c r="BC38" s="12"/>
      <c r="BD38" s="12"/>
      <c r="BE38" s="12"/>
      <c r="BF38" s="1"/>
      <c r="BG38" s="2" t="s">
        <v>16</v>
      </c>
      <c r="BH38" s="3" t="s">
        <v>10</v>
      </c>
      <c r="BI38" s="3" t="s">
        <v>10</v>
      </c>
      <c r="BJ38" s="3">
        <v>0</v>
      </c>
      <c r="BK38" s="19">
        <v>11.579902000000001</v>
      </c>
      <c r="BL38" s="19" t="s">
        <v>10</v>
      </c>
      <c r="BM38" s="19">
        <v>4.3146060000000004</v>
      </c>
      <c r="BN38" s="19">
        <v>0.52071699999999999</v>
      </c>
      <c r="BO38" s="12">
        <f t="shared" si="27"/>
        <v>0.26284172163342262</v>
      </c>
      <c r="BP38" s="12">
        <f t="shared" si="28"/>
        <v>3.172158773333901E-2</v>
      </c>
      <c r="BQ38" s="17">
        <f t="shared" si="29"/>
        <v>16.415225000000003</v>
      </c>
      <c r="BR38" s="24">
        <f>0-'2. Diesel-battery-storage'!$M38</f>
        <v>-0.24791382000000001</v>
      </c>
      <c r="BS38" s="24">
        <f>-(BL11-'2. Diesel-battery-storage'!$G11)*BQ38/BR38</f>
        <v>914.87795002160431</v>
      </c>
      <c r="BT38" s="29">
        <f>-BS38*BR38/1000+'2. Diesel-battery-storage'!$AJ38</f>
        <v>-1.1709107217249108</v>
      </c>
      <c r="BU38" s="41">
        <f>BT38/'0. Current system'!$L38*1000</f>
        <v>-121.41041599639956</v>
      </c>
      <c r="BV38" s="12"/>
      <c r="BW38" s="12"/>
      <c r="BX38" s="12"/>
      <c r="BY38" s="1"/>
      <c r="BZ38" s="2" t="s">
        <v>16</v>
      </c>
      <c r="CA38" s="3" t="s">
        <v>10</v>
      </c>
      <c r="CB38" s="3" t="s">
        <v>10</v>
      </c>
      <c r="CC38" s="3">
        <v>0</v>
      </c>
      <c r="CD38" s="3">
        <v>8.3455849999999998</v>
      </c>
      <c r="CE38" s="3" t="s">
        <v>10</v>
      </c>
      <c r="CF38" s="19">
        <v>4.3259420000000004</v>
      </c>
      <c r="CG38" s="19">
        <v>4.0400640000000001</v>
      </c>
      <c r="CH38" s="12">
        <f t="shared" si="30"/>
        <v>0.25885877652223538</v>
      </c>
      <c r="CI38" s="12">
        <f t="shared" si="31"/>
        <v>0.24175220659720548</v>
      </c>
      <c r="CJ38" s="17">
        <f t="shared" si="32"/>
        <v>16.711591000000002</v>
      </c>
      <c r="CK38" s="24" t="e">
        <f>(0-'2''. Storage - some with diesel'!#REF!)</f>
        <v>#REF!</v>
      </c>
      <c r="CL38" s="24"/>
      <c r="CM38" s="28" t="e">
        <f>'2''. Storage - some with diesel'!#REF!</f>
        <v>#REF!</v>
      </c>
      <c r="CN38" s="41"/>
      <c r="CO38" s="41"/>
      <c r="CP38" s="41"/>
      <c r="CQ38" s="41"/>
      <c r="CR38" s="1"/>
    </row>
    <row r="39" spans="1:96">
      <c r="A39" s="1"/>
      <c r="B39" s="2" t="s">
        <v>17</v>
      </c>
      <c r="C39" s="3">
        <v>34.424878</v>
      </c>
      <c r="D39" s="3" t="s">
        <v>10</v>
      </c>
      <c r="E39" s="3">
        <v>0</v>
      </c>
      <c r="F39" s="19">
        <v>80.673292000000004</v>
      </c>
      <c r="G39" s="19" t="s">
        <v>10</v>
      </c>
      <c r="H39" s="19">
        <v>678.67391899999996</v>
      </c>
      <c r="I39" s="19">
        <v>1323.0971569999999</v>
      </c>
      <c r="J39" s="12">
        <f t="shared" si="18"/>
        <v>0.32060266371312762</v>
      </c>
      <c r="K39" s="12">
        <f t="shared" si="19"/>
        <v>0.62502545185542369</v>
      </c>
      <c r="L39" s="17">
        <f t="shared" si="20"/>
        <v>2116.8692459999997</v>
      </c>
      <c r="M39" s="24">
        <f>0-'2. Diesel-battery-storage'!$M39</f>
        <v>-93.122661720000011</v>
      </c>
      <c r="N39" s="24">
        <f>-(G12-'2. Diesel-battery-storage'!$G12)*L39/M39</f>
        <v>-237.27032286234072</v>
      </c>
      <c r="O39" s="29">
        <f>-N39*M39/1000+'2. Diesel-battery-storage'!$AJ39</f>
        <v>-191.22385380379035</v>
      </c>
      <c r="P39" s="41">
        <f>O39/'0. Current system'!$L39*1000</f>
        <v>-230.40595100785569</v>
      </c>
      <c r="Q39" s="12"/>
      <c r="R39" s="12"/>
      <c r="S39" s="12"/>
      <c r="T39" s="1"/>
      <c r="U39" s="2" t="s">
        <v>17</v>
      </c>
      <c r="V39" s="3">
        <v>36.902050000000003</v>
      </c>
      <c r="W39" s="3" t="s">
        <v>10</v>
      </c>
      <c r="X39" s="3">
        <v>0</v>
      </c>
      <c r="Y39" s="3">
        <v>0</v>
      </c>
      <c r="Z39" s="3" t="s">
        <v>10</v>
      </c>
      <c r="AA39" s="19">
        <v>811.89387999999997</v>
      </c>
      <c r="AB39" s="19">
        <v>1236.189484</v>
      </c>
      <c r="AC39" s="12">
        <f t="shared" si="21"/>
        <v>0.38940026848552334</v>
      </c>
      <c r="AD39" s="12">
        <f t="shared" si="22"/>
        <v>0.59290078275818581</v>
      </c>
      <c r="AE39" s="17">
        <f t="shared" si="23"/>
        <v>2084.9854139999998</v>
      </c>
      <c r="AF39" s="24">
        <f>0-'2. Diesel-battery-storage'!$M39</f>
        <v>-93.122661720000011</v>
      </c>
      <c r="AG39" s="24">
        <f>-(Z12-'2. Diesel-battery-storage'!$G12)*AE39/AF39</f>
        <v>-222.65453903739765</v>
      </c>
      <c r="AH39" s="29">
        <f>-AG39*AF39/1000+'2. Diesel-battery-storage'!$AJ39</f>
        <v>-189.86279311088754</v>
      </c>
      <c r="AI39" s="41">
        <f>AH39/'0. Current system'!$L39*1000</f>
        <v>-228.76600663329319</v>
      </c>
      <c r="AJ39" s="41"/>
      <c r="AK39" s="41"/>
      <c r="AL39" s="41"/>
      <c r="AM39" s="1"/>
      <c r="AN39" s="2" t="s">
        <v>17</v>
      </c>
      <c r="AO39" s="3">
        <v>35.027710999999996</v>
      </c>
      <c r="AP39" s="3" t="s">
        <v>10</v>
      </c>
      <c r="AQ39" s="3">
        <v>0</v>
      </c>
      <c r="AR39" s="3">
        <v>0</v>
      </c>
      <c r="AS39" s="3" t="s">
        <v>10</v>
      </c>
      <c r="AT39" s="19">
        <v>811.27841000000001</v>
      </c>
      <c r="AU39" s="19">
        <v>1235.6849830000001</v>
      </c>
      <c r="AV39" s="12">
        <f t="shared" si="24"/>
        <v>0.38966468609848581</v>
      </c>
      <c r="AW39" s="12">
        <f t="shared" si="25"/>
        <v>0.59351117333112291</v>
      </c>
      <c r="AX39" s="17">
        <f t="shared" si="26"/>
        <v>2081.9911040000002</v>
      </c>
      <c r="AY39" s="24">
        <f>0-'2. Diesel-battery-storage'!$M39</f>
        <v>-93.122661720000011</v>
      </c>
      <c r="AZ39" s="24">
        <f>-(AS12-'2. Diesel-battery-storage'!$G12)*AX39/AY39</f>
        <v>-207.9043674628937</v>
      </c>
      <c r="BA39" s="29">
        <f>-AZ39*AY39/1000+'2. Diesel-battery-storage'!$AJ39</f>
        <v>-188.48921787304306</v>
      </c>
      <c r="BB39" s="41">
        <f>BA39/'0. Current system'!$L39*1000</f>
        <v>-227.11098346196266</v>
      </c>
      <c r="BC39" s="12"/>
      <c r="BD39" s="12"/>
      <c r="BE39" s="12"/>
      <c r="BF39" s="1"/>
      <c r="BG39" s="2" t="s">
        <v>17</v>
      </c>
      <c r="BH39" s="3">
        <v>40.602305999999999</v>
      </c>
      <c r="BI39" s="3" t="s">
        <v>10</v>
      </c>
      <c r="BJ39" s="3">
        <v>0</v>
      </c>
      <c r="BK39" s="19">
        <v>295.97374500000001</v>
      </c>
      <c r="BL39" s="19" t="s">
        <v>10</v>
      </c>
      <c r="BM39" s="19">
        <v>663.58489799999995</v>
      </c>
      <c r="BN39" s="19">
        <v>938.82486600000004</v>
      </c>
      <c r="BO39" s="12">
        <f t="shared" si="27"/>
        <v>0.34223298224592735</v>
      </c>
      <c r="BP39" s="12">
        <f t="shared" si="28"/>
        <v>0.48418346268304185</v>
      </c>
      <c r="BQ39" s="17">
        <f t="shared" si="29"/>
        <v>1938.985815</v>
      </c>
      <c r="BR39" s="24">
        <f>0-'2. Diesel-battery-storage'!$M39</f>
        <v>-93.122661720000011</v>
      </c>
      <c r="BS39" s="24">
        <f>-(BL12-'2. Diesel-battery-storage'!$G12)*BQ39/BR39</f>
        <v>254.85863692862716</v>
      </c>
      <c r="BT39" s="29">
        <f>-BS39*BR39/1000+'2. Diesel-battery-storage'!$AJ39</f>
        <v>-145.39549515856058</v>
      </c>
      <c r="BU39" s="41">
        <f>BT39/'0. Current system'!$L39*1000</f>
        <v>-175.18728269455161</v>
      </c>
      <c r="BV39" s="12"/>
      <c r="BW39" s="12"/>
      <c r="BX39" s="12"/>
      <c r="BY39" s="1"/>
      <c r="BZ39" s="2" t="s">
        <v>17</v>
      </c>
      <c r="CA39" s="3">
        <v>13.647410000000001</v>
      </c>
      <c r="CB39" s="3" t="s">
        <v>10</v>
      </c>
      <c r="CC39" s="3">
        <v>0</v>
      </c>
      <c r="CD39" s="3">
        <v>0</v>
      </c>
      <c r="CE39" s="3" t="s">
        <v>10</v>
      </c>
      <c r="CF39" s="19">
        <v>549.22416199999998</v>
      </c>
      <c r="CG39" s="19">
        <v>1293.805331</v>
      </c>
      <c r="CH39" s="12">
        <f t="shared" si="30"/>
        <v>0.29581030555858645</v>
      </c>
      <c r="CI39" s="12">
        <f t="shared" si="31"/>
        <v>0.69683924484086712</v>
      </c>
      <c r="CJ39" s="17">
        <f t="shared" si="32"/>
        <v>1856.676903</v>
      </c>
      <c r="CK39" s="24" t="e">
        <f>(0-'2''. Storage - some with diesel'!#REF!)</f>
        <v>#REF!</v>
      </c>
      <c r="CL39" s="24" t="e">
        <f>-(CE12-'2''. Storage - some with diesel'!#REF!)*CJ39/CK39</f>
        <v>#REF!</v>
      </c>
      <c r="CM39" s="29" t="e">
        <f>CL39*CK39/1000+'2. Diesel-battery-storage'!$AJ39</f>
        <v>#REF!</v>
      </c>
      <c r="CN39" s="41"/>
      <c r="CO39" s="41"/>
      <c r="CP39" s="41"/>
      <c r="CQ39" s="41"/>
      <c r="CR39" s="1"/>
    </row>
    <row r="40" spans="1:96">
      <c r="A40" s="1"/>
      <c r="B40" s="2" t="s">
        <v>18</v>
      </c>
      <c r="C40" s="3" t="s">
        <v>10</v>
      </c>
      <c r="D40" s="3" t="s">
        <v>10</v>
      </c>
      <c r="E40" s="3">
        <v>0</v>
      </c>
      <c r="F40" s="19">
        <v>155.02307400000001</v>
      </c>
      <c r="G40" s="19" t="s">
        <v>10</v>
      </c>
      <c r="H40" s="19">
        <v>81.036134000000004</v>
      </c>
      <c r="I40" s="19">
        <v>42.196116000000004</v>
      </c>
      <c r="J40" s="12">
        <f t="shared" si="18"/>
        <v>0.29122941058263452</v>
      </c>
      <c r="K40" s="12">
        <f t="shared" si="19"/>
        <v>0.15164531407133111</v>
      </c>
      <c r="L40" s="17">
        <f t="shared" si="20"/>
        <v>278.25532400000003</v>
      </c>
      <c r="M40" s="24">
        <f>0-'2. Diesel-battery-storage'!$M40</f>
        <v>-14.235873960000001</v>
      </c>
      <c r="N40" s="24">
        <f>-(G13-'2. Diesel-battery-storage'!$G13)*L40/M40</f>
        <v>268.04404972926386</v>
      </c>
      <c r="O40" s="29">
        <f>-N40*M40/1000+'2. Diesel-battery-storage'!$AJ40</f>
        <v>-22.622070161225178</v>
      </c>
      <c r="P40" s="41">
        <f>O40/'0. Current system'!$L40*1000</f>
        <v>-131.3327496621757</v>
      </c>
      <c r="Q40" s="12"/>
      <c r="R40" s="12"/>
      <c r="S40" s="12"/>
      <c r="T40" s="1"/>
      <c r="U40" s="2" t="s">
        <v>18</v>
      </c>
      <c r="V40" s="3" t="s">
        <v>10</v>
      </c>
      <c r="W40" s="3" t="s">
        <v>10</v>
      </c>
      <c r="X40" s="3">
        <v>0</v>
      </c>
      <c r="Y40" s="3">
        <v>153.66575399999999</v>
      </c>
      <c r="Z40" s="3" t="s">
        <v>10</v>
      </c>
      <c r="AA40" s="19">
        <v>81.893906999999999</v>
      </c>
      <c r="AB40" s="19">
        <v>42.965094999999998</v>
      </c>
      <c r="AC40" s="12">
        <f t="shared" si="21"/>
        <v>0.29402738979511034</v>
      </c>
      <c r="AD40" s="12">
        <f t="shared" si="22"/>
        <v>0.15425951939439089</v>
      </c>
      <c r="AE40" s="17">
        <f t="shared" si="23"/>
        <v>278.52475600000002</v>
      </c>
      <c r="AF40" s="24">
        <f>0-'2. Diesel-battery-storage'!$M40</f>
        <v>-14.235873960000001</v>
      </c>
      <c r="AG40" s="24">
        <f>-(Z13-'2. Diesel-battery-storage'!$G13)*AE40/AF40</f>
        <v>263.33655154373969</v>
      </c>
      <c r="AH40" s="29">
        <f>-AG40*AF40/1000+'2. Diesel-battery-storage'!$AJ40</f>
        <v>-22.689085512061226</v>
      </c>
      <c r="AI40" s="41">
        <f>AH40/'0. Current system'!$L40*1000</f>
        <v>-131.72180823339167</v>
      </c>
      <c r="AJ40" s="41"/>
      <c r="AK40" s="41"/>
      <c r="AL40" s="41"/>
      <c r="AM40" s="1"/>
      <c r="AN40" s="2" t="s">
        <v>18</v>
      </c>
      <c r="AO40" s="3" t="s">
        <v>10</v>
      </c>
      <c r="AP40" s="3" t="s">
        <v>10</v>
      </c>
      <c r="AQ40" s="3">
        <v>0</v>
      </c>
      <c r="AR40" s="3">
        <v>158.96431799999999</v>
      </c>
      <c r="AS40" s="3" t="s">
        <v>10</v>
      </c>
      <c r="AT40" s="19">
        <v>74.758696999999998</v>
      </c>
      <c r="AU40" s="19">
        <v>43.824413</v>
      </c>
      <c r="AV40" s="12">
        <f t="shared" si="24"/>
        <v>0.26935467404151192</v>
      </c>
      <c r="AW40" s="12">
        <f t="shared" si="25"/>
        <v>0.15789882585400866</v>
      </c>
      <c r="AX40" s="17">
        <f t="shared" si="26"/>
        <v>277.54742799999997</v>
      </c>
      <c r="AY40" s="24">
        <f>0-'2. Diesel-battery-storage'!$M40</f>
        <v>-14.235873960000001</v>
      </c>
      <c r="AZ40" s="24">
        <f>-(AS13-'2. Diesel-battery-storage'!$G13)*AX40/AY40</f>
        <v>276.70861828070002</v>
      </c>
      <c r="BA40" s="29">
        <f>-AZ40*AY40/1000+'2. Diesel-battery-storage'!$AJ40</f>
        <v>-22.498722455409151</v>
      </c>
      <c r="BB40" s="41">
        <f>BA40/'0. Current system'!$L40*1000</f>
        <v>-130.61665280393561</v>
      </c>
      <c r="BC40" s="12"/>
      <c r="BD40" s="12"/>
      <c r="BE40" s="12"/>
      <c r="BF40" s="1"/>
      <c r="BG40" s="2" t="s">
        <v>18</v>
      </c>
      <c r="BH40" s="3" t="s">
        <v>10</v>
      </c>
      <c r="BI40" s="3" t="s">
        <v>10</v>
      </c>
      <c r="BJ40" s="3">
        <v>0</v>
      </c>
      <c r="BK40" s="19">
        <v>191.910877</v>
      </c>
      <c r="BL40" s="19" t="s">
        <v>10</v>
      </c>
      <c r="BM40" s="19">
        <v>72.311245</v>
      </c>
      <c r="BN40" s="19">
        <v>9.4739210000000007</v>
      </c>
      <c r="BO40" s="12">
        <f t="shared" si="27"/>
        <v>0.26420274187157317</v>
      </c>
      <c r="BP40" s="12">
        <f t="shared" si="28"/>
        <v>3.4614753272118E-2</v>
      </c>
      <c r="BQ40" s="17">
        <f t="shared" si="29"/>
        <v>273.69604300000003</v>
      </c>
      <c r="BR40" s="24">
        <f>0-'2. Diesel-battery-storage'!$M40</f>
        <v>-14.235873960000001</v>
      </c>
      <c r="BS40" s="24">
        <f>-(BL13-'2. Diesel-battery-storage'!$G13)*BQ40/BR40</f>
        <v>360.18004877382407</v>
      </c>
      <c r="BT40" s="29">
        <f>-BS40*BR40/1000+'2. Diesel-battery-storage'!$AJ40</f>
        <v>-21.310433691648136</v>
      </c>
      <c r="BU40" s="41">
        <f>BT40/'0. Current system'!$L40*1000</f>
        <v>-123.7180255065588</v>
      </c>
      <c r="BV40" s="12"/>
      <c r="BW40" s="12"/>
      <c r="BX40" s="12"/>
      <c r="BY40" s="1"/>
      <c r="BZ40" s="2" t="s">
        <v>18</v>
      </c>
      <c r="CA40" s="3" t="s">
        <v>10</v>
      </c>
      <c r="CB40" s="3" t="s">
        <v>10</v>
      </c>
      <c r="CC40" s="3">
        <v>0</v>
      </c>
      <c r="CD40" s="3">
        <v>54.194552000000002</v>
      </c>
      <c r="CE40" s="3" t="s">
        <v>10</v>
      </c>
      <c r="CF40" s="19">
        <v>95.991726</v>
      </c>
      <c r="CG40" s="19">
        <v>127.698166</v>
      </c>
      <c r="CH40" s="12">
        <f t="shared" si="30"/>
        <v>0.34543756612730719</v>
      </c>
      <c r="CI40" s="12">
        <f t="shared" si="31"/>
        <v>0.45953693615177676</v>
      </c>
      <c r="CJ40" s="17">
        <f t="shared" si="32"/>
        <v>277.88444400000003</v>
      </c>
      <c r="CK40" s="24" t="e">
        <f>(0-'2''. Storage - some with diesel'!#REF!)</f>
        <v>#REF!</v>
      </c>
      <c r="CL40" s="24"/>
      <c r="CM40" s="28" t="e">
        <f>'2''. Storage - some with diesel'!#REF!</f>
        <v>#REF!</v>
      </c>
      <c r="CN40" s="41"/>
      <c r="CO40" s="41"/>
      <c r="CP40" s="41"/>
      <c r="CQ40" s="41"/>
      <c r="CR40" s="1"/>
    </row>
    <row r="41" spans="1:96">
      <c r="A41" s="1"/>
      <c r="B41" s="2" t="s">
        <v>19</v>
      </c>
      <c r="C41" s="3" t="s">
        <v>10</v>
      </c>
      <c r="D41" s="3" t="s">
        <v>10</v>
      </c>
      <c r="E41" s="3">
        <v>0</v>
      </c>
      <c r="F41" s="19">
        <v>0</v>
      </c>
      <c r="G41" s="19">
        <v>14.75032</v>
      </c>
      <c r="H41" s="19">
        <v>48.469374999999999</v>
      </c>
      <c r="I41" s="19">
        <v>133.61228700000001</v>
      </c>
      <c r="J41" s="12">
        <f t="shared" si="18"/>
        <v>0.24624745687923824</v>
      </c>
      <c r="K41" s="12">
        <f t="shared" si="19"/>
        <v>0.6788139084023449</v>
      </c>
      <c r="L41" s="17">
        <f t="shared" si="20"/>
        <v>196.83198200000001</v>
      </c>
      <c r="M41" s="24">
        <f>0-'2. Diesel-battery-storage'!$M41</f>
        <v>-5.7058056000000006</v>
      </c>
      <c r="N41" s="24">
        <f>-(G14-'2. Diesel-battery-storage'!$G14)*L41/M41</f>
        <v>278.74328012492987</v>
      </c>
      <c r="O41" s="29">
        <f>-N41*M41/1000+'2. Diesel-battery-storage'!$AJ41</f>
        <v>-17.610409224453608</v>
      </c>
      <c r="P41" s="41">
        <f>O41/'0. Current system'!$L41*1000</f>
        <v>-205.42308198196545</v>
      </c>
      <c r="Q41" s="12"/>
      <c r="R41" s="12"/>
      <c r="S41" s="12"/>
      <c r="T41" s="1"/>
      <c r="U41" s="2" t="s">
        <v>19</v>
      </c>
      <c r="V41" s="3" t="s">
        <v>10</v>
      </c>
      <c r="W41" s="3" t="s">
        <v>10</v>
      </c>
      <c r="X41" s="3">
        <v>0</v>
      </c>
      <c r="Y41" s="3">
        <v>0</v>
      </c>
      <c r="Z41" s="3">
        <v>14.749427000000001</v>
      </c>
      <c r="AA41" s="19">
        <v>48.441004999999997</v>
      </c>
      <c r="AB41" s="19">
        <v>133.64747299999999</v>
      </c>
      <c r="AC41" s="12">
        <f t="shared" si="21"/>
        <v>0.24609591836491046</v>
      </c>
      <c r="AD41" s="12">
        <f t="shared" si="22"/>
        <v>0.67897223860414491</v>
      </c>
      <c r="AE41" s="17">
        <f t="shared" si="23"/>
        <v>196.83790499999998</v>
      </c>
      <c r="AF41" s="24">
        <f>0-'2. Diesel-battery-storage'!$M41</f>
        <v>-5.7058056000000006</v>
      </c>
      <c r="AG41" s="24">
        <f>-(Z14-'2. Diesel-battery-storage'!$G14)*AE41/AF41</f>
        <v>274.20933884766151</v>
      </c>
      <c r="AH41" s="29">
        <f>-AG41*AF41/1000+'2. Diesel-battery-storage'!$AJ41</f>
        <v>-17.636279011983518</v>
      </c>
      <c r="AI41" s="41">
        <f>AH41/'0. Current system'!$L41*1000</f>
        <v>-205.72484961364736</v>
      </c>
      <c r="AJ41" s="41"/>
      <c r="AK41" s="41"/>
      <c r="AL41" s="41"/>
      <c r="AM41" s="1"/>
      <c r="AN41" s="2" t="s">
        <v>19</v>
      </c>
      <c r="AO41" s="3" t="s">
        <v>10</v>
      </c>
      <c r="AP41" s="3" t="s">
        <v>10</v>
      </c>
      <c r="AQ41" s="3">
        <v>0</v>
      </c>
      <c r="AR41" s="3">
        <v>0</v>
      </c>
      <c r="AS41" s="3">
        <v>14.639448</v>
      </c>
      <c r="AT41" s="19">
        <v>48.565164000000003</v>
      </c>
      <c r="AU41" s="19">
        <v>132.65924999999999</v>
      </c>
      <c r="AV41" s="12">
        <f t="shared" si="24"/>
        <v>0.24795367304663893</v>
      </c>
      <c r="AW41" s="12">
        <f t="shared" si="25"/>
        <v>0.67730335063034752</v>
      </c>
      <c r="AX41" s="17">
        <f t="shared" si="26"/>
        <v>195.86386199999998</v>
      </c>
      <c r="AY41" s="24">
        <f>0-'2. Diesel-battery-storage'!$M41</f>
        <v>-5.7058056000000006</v>
      </c>
      <c r="AZ41" s="24">
        <f>-(AS14-'2. Diesel-battery-storage'!$G14)*AX41/AY41</f>
        <v>286.97906585364098</v>
      </c>
      <c r="BA41" s="29">
        <f>-AZ41*AY41/1000+'2. Diesel-battery-storage'!$AJ41</f>
        <v>-17.563417432122328</v>
      </c>
      <c r="BB41" s="41">
        <f>BA41/'0. Current system'!$L41*1000</f>
        <v>-204.87492897282678</v>
      </c>
      <c r="BC41" s="12"/>
      <c r="BD41" s="12"/>
      <c r="BE41" s="12"/>
      <c r="BF41" s="1"/>
      <c r="BG41" s="2" t="s">
        <v>19</v>
      </c>
      <c r="BH41" s="3" t="s">
        <v>10</v>
      </c>
      <c r="BI41" s="3" t="s">
        <v>10</v>
      </c>
      <c r="BJ41" s="3">
        <v>0</v>
      </c>
      <c r="BK41" s="19">
        <v>25.758607999999999</v>
      </c>
      <c r="BL41" s="19">
        <v>21.717822000000002</v>
      </c>
      <c r="BM41" s="19">
        <v>53.034618000000002</v>
      </c>
      <c r="BN41" s="19">
        <v>84.598883999999998</v>
      </c>
      <c r="BO41" s="12">
        <f t="shared" si="27"/>
        <v>0.28650336276931915</v>
      </c>
      <c r="BP41" s="12">
        <f t="shared" si="28"/>
        <v>0.45701969141234405</v>
      </c>
      <c r="BQ41" s="17">
        <f t="shared" si="29"/>
        <v>185.10993200000001</v>
      </c>
      <c r="BR41" s="24">
        <f>0-'2. Diesel-battery-storage'!$M41</f>
        <v>-5.7058056000000006</v>
      </c>
      <c r="BS41" s="24">
        <f>-(BL14-'2. Diesel-battery-storage'!$G14)*BQ41/BR41</f>
        <v>748.81812270813498</v>
      </c>
      <c r="BT41" s="29">
        <f>-BS41*BR41/1000+'2. Diesel-battery-storage'!$AJ41</f>
        <v>-14.92825355522324</v>
      </c>
      <c r="BU41" s="41">
        <f>BT41/'0. Current system'!$L41*1000</f>
        <v>-174.13609274132796</v>
      </c>
      <c r="BV41" s="12"/>
      <c r="BW41" s="12"/>
      <c r="BX41" s="12"/>
      <c r="BY41" s="1"/>
      <c r="BZ41" s="2" t="s">
        <v>19</v>
      </c>
      <c r="CA41" s="3" t="s">
        <v>10</v>
      </c>
      <c r="CB41" s="3" t="s">
        <v>10</v>
      </c>
      <c r="CC41" s="3">
        <v>0</v>
      </c>
      <c r="CD41" s="3">
        <v>0</v>
      </c>
      <c r="CE41" s="3">
        <v>7.1812469999999999</v>
      </c>
      <c r="CF41" s="19">
        <v>36.90164</v>
      </c>
      <c r="CG41" s="19">
        <v>141.30503200000001</v>
      </c>
      <c r="CH41" s="12">
        <f t="shared" si="30"/>
        <v>0.19905094247268615</v>
      </c>
      <c r="CI41" s="12">
        <f t="shared" si="31"/>
        <v>0.76221273080906637</v>
      </c>
      <c r="CJ41" s="17">
        <f t="shared" si="32"/>
        <v>185.38791900000001</v>
      </c>
      <c r="CK41" s="24" t="e">
        <f>(0-'2''. Storage - some with diesel'!#REF!)</f>
        <v>#REF!</v>
      </c>
      <c r="CL41" s="24"/>
      <c r="CM41" s="28" t="e">
        <f>'2''. Storage - some with diesel'!#REF!</f>
        <v>#REF!</v>
      </c>
      <c r="CN41" s="41"/>
      <c r="CO41" s="41"/>
      <c r="CP41" s="41"/>
      <c r="CQ41" s="41"/>
      <c r="CR41" s="1"/>
    </row>
    <row r="42" spans="1:96">
      <c r="A42" s="1"/>
      <c r="T42" s="1"/>
      <c r="AM42" s="1"/>
      <c r="BF42" s="1"/>
      <c r="BY42" s="1"/>
      <c r="CR42" s="1"/>
    </row>
    <row r="43" spans="1:96">
      <c r="A43" s="1"/>
      <c r="B43" s="2" t="s">
        <v>9</v>
      </c>
      <c r="C43" t="e">
        <f t="shared" ref="C43:I43" si="33">C32/(C19*8.76)</f>
        <v>#VALUE!</v>
      </c>
      <c r="D43" t="e">
        <f t="shared" si="33"/>
        <v>#VALUE!</v>
      </c>
      <c r="E43" s="6" t="e">
        <f t="shared" si="33"/>
        <v>#DIV/0!</v>
      </c>
      <c r="F43" s="6" t="e">
        <f t="shared" si="33"/>
        <v>#VALUE!</v>
      </c>
      <c r="G43" s="6" t="e">
        <f t="shared" si="33"/>
        <v>#VALUE!</v>
      </c>
      <c r="H43" s="6">
        <f t="shared" si="33"/>
        <v>0.17255513743182718</v>
      </c>
      <c r="I43" s="6">
        <f t="shared" si="33"/>
        <v>0.43188771232876716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1"/>
      <c r="U43" s="2" t="s">
        <v>9</v>
      </c>
      <c r="V43" t="e">
        <f t="shared" ref="V43:AB43" si="34">V32/(V19*8.76)</f>
        <v>#VALUE!</v>
      </c>
      <c r="W43" t="e">
        <f t="shared" si="34"/>
        <v>#VALUE!</v>
      </c>
      <c r="X43" s="6" t="e">
        <f t="shared" si="34"/>
        <v>#DIV/0!</v>
      </c>
      <c r="Y43" s="6" t="e">
        <f t="shared" si="34"/>
        <v>#VALUE!</v>
      </c>
      <c r="Z43" s="6" t="e">
        <f t="shared" si="34"/>
        <v>#VALUE!</v>
      </c>
      <c r="AA43" s="6">
        <f t="shared" si="34"/>
        <v>0.17150984462383928</v>
      </c>
      <c r="AB43" s="6">
        <f t="shared" si="34"/>
        <v>0.43329102392170882</v>
      </c>
      <c r="AM43" s="1"/>
      <c r="AN43" s="2" t="s">
        <v>9</v>
      </c>
      <c r="AO43" t="e">
        <f t="shared" ref="AO43:AU43" si="35">AO32/(AO19*8.76)</f>
        <v>#VALUE!</v>
      </c>
      <c r="AP43" t="e">
        <f t="shared" si="35"/>
        <v>#VALUE!</v>
      </c>
      <c r="AQ43" s="6" t="e">
        <f t="shared" si="35"/>
        <v>#DIV/0!</v>
      </c>
      <c r="AR43" s="6" t="e">
        <f t="shared" si="35"/>
        <v>#VALUE!</v>
      </c>
      <c r="AS43" s="6" t="e">
        <f t="shared" si="35"/>
        <v>#VALUE!</v>
      </c>
      <c r="AT43" s="6">
        <f t="shared" si="35"/>
        <v>0.17164278688983081</v>
      </c>
      <c r="AU43" s="6">
        <f t="shared" si="35"/>
        <v>0.43326232355824984</v>
      </c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1"/>
      <c r="BG43" s="2" t="s">
        <v>9</v>
      </c>
      <c r="BH43" t="e">
        <f t="shared" ref="BH43:BN43" si="36">BH32/(BH19*8.76)</f>
        <v>#VALUE!</v>
      </c>
      <c r="BI43" t="e">
        <f t="shared" si="36"/>
        <v>#VALUE!</v>
      </c>
      <c r="BJ43" s="6" t="e">
        <f t="shared" si="36"/>
        <v>#DIV/0!</v>
      </c>
      <c r="BK43" s="6" t="e">
        <f t="shared" si="36"/>
        <v>#VALUE!</v>
      </c>
      <c r="BL43" s="6" t="e">
        <f t="shared" si="36"/>
        <v>#VALUE!</v>
      </c>
      <c r="BM43" s="6">
        <f t="shared" si="36"/>
        <v>0.17259245756522473</v>
      </c>
      <c r="BN43" s="6">
        <f t="shared" si="36"/>
        <v>0.43181650114155251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1"/>
      <c r="BZ43" s="2" t="s">
        <v>9</v>
      </c>
      <c r="CA43" t="e">
        <f t="shared" ref="CA43:CG43" si="37">CA32/(CA19*8.76)</f>
        <v>#VALUE!</v>
      </c>
      <c r="CB43" t="e">
        <f t="shared" si="37"/>
        <v>#VALUE!</v>
      </c>
      <c r="CC43" s="6" t="e">
        <f t="shared" si="37"/>
        <v>#DIV/0!</v>
      </c>
      <c r="CD43" s="6" t="e">
        <f t="shared" si="37"/>
        <v>#VALUE!</v>
      </c>
      <c r="CE43" s="6" t="e">
        <f t="shared" si="37"/>
        <v>#VALUE!</v>
      </c>
      <c r="CF43" s="6">
        <f t="shared" si="37"/>
        <v>7.9795913060524595E-2</v>
      </c>
      <c r="CG43" s="6">
        <f t="shared" si="37"/>
        <v>0.32547177739726024</v>
      </c>
      <c r="CR43" s="1"/>
    </row>
    <row r="44" spans="1:96">
      <c r="A44" s="1"/>
      <c r="B44" s="2" t="s">
        <v>11</v>
      </c>
      <c r="C44">
        <f t="shared" ref="C44:I44" si="38">C33/(C20*8.76)</f>
        <v>0.11552039954337899</v>
      </c>
      <c r="D44" t="e">
        <f t="shared" si="38"/>
        <v>#VALUE!</v>
      </c>
      <c r="E44" s="6" t="e">
        <f t="shared" si="38"/>
        <v>#DIV/0!</v>
      </c>
      <c r="F44" s="6" t="e">
        <f t="shared" si="38"/>
        <v>#VALUE!</v>
      </c>
      <c r="G44" s="6" t="e">
        <f t="shared" si="38"/>
        <v>#VALUE!</v>
      </c>
      <c r="H44" s="6">
        <f t="shared" si="38"/>
        <v>0.17402222388915128</v>
      </c>
      <c r="I44" s="6">
        <f t="shared" si="38"/>
        <v>0.50585679223744295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1"/>
      <c r="U44" s="2" t="s">
        <v>11</v>
      </c>
      <c r="V44">
        <f t="shared" ref="V44:AB44" si="39">V33/(V20*8.76)</f>
        <v>0.11574180365296804</v>
      </c>
      <c r="W44" t="e">
        <f t="shared" si="39"/>
        <v>#VALUE!</v>
      </c>
      <c r="X44" s="6" t="e">
        <f t="shared" si="39"/>
        <v>#DIV/0!</v>
      </c>
      <c r="Y44" s="6" t="e">
        <f t="shared" si="39"/>
        <v>#VALUE!</v>
      </c>
      <c r="Z44" s="6" t="e">
        <f t="shared" si="39"/>
        <v>#VALUE!</v>
      </c>
      <c r="AA44" s="6">
        <f t="shared" si="39"/>
        <v>0.17269644707991522</v>
      </c>
      <c r="AB44" s="6">
        <f t="shared" si="39"/>
        <v>0.49825505175038048</v>
      </c>
      <c r="AM44" s="1"/>
      <c r="AN44" s="2" t="s">
        <v>11</v>
      </c>
      <c r="AO44">
        <f t="shared" ref="AO44:AU44" si="40">AO33/(AO20*8.76)</f>
        <v>0.11566372146118722</v>
      </c>
      <c r="AP44" t="e">
        <f t="shared" si="40"/>
        <v>#VALUE!</v>
      </c>
      <c r="AQ44" s="6" t="e">
        <f t="shared" si="40"/>
        <v>#DIV/0!</v>
      </c>
      <c r="AR44" s="6" t="e">
        <f t="shared" si="40"/>
        <v>#VALUE!</v>
      </c>
      <c r="AS44" s="6" t="e">
        <f t="shared" si="40"/>
        <v>#VALUE!</v>
      </c>
      <c r="AT44" s="6">
        <f t="shared" si="40"/>
        <v>0.17230540345221496</v>
      </c>
      <c r="AU44" s="6">
        <f t="shared" si="40"/>
        <v>0.49627133105022836</v>
      </c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1"/>
      <c r="BG44" s="2" t="s">
        <v>11</v>
      </c>
      <c r="BH44">
        <f t="shared" ref="BH44:BN44" si="41">BH33/(BH20*8.76)</f>
        <v>0.11552039954337899</v>
      </c>
      <c r="BI44" t="e">
        <f t="shared" si="41"/>
        <v>#VALUE!</v>
      </c>
      <c r="BJ44" s="6" t="e">
        <f t="shared" si="41"/>
        <v>#DIV/0!</v>
      </c>
      <c r="BK44" s="6" t="e">
        <f t="shared" si="41"/>
        <v>#VALUE!</v>
      </c>
      <c r="BL44" s="6" t="e">
        <f t="shared" si="41"/>
        <v>#VALUE!</v>
      </c>
      <c r="BM44" s="6">
        <f t="shared" si="41"/>
        <v>0.17403170061694706</v>
      </c>
      <c r="BN44" s="6">
        <f t="shared" si="41"/>
        <v>0.50582235312024348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1"/>
      <c r="BZ44" s="2" t="s">
        <v>11</v>
      </c>
      <c r="CA44">
        <f t="shared" ref="CA44:CG44" si="42">CA33/(CA20*8.76)</f>
        <v>8.1531232876712337E-2</v>
      </c>
      <c r="CB44" t="e">
        <f t="shared" si="42"/>
        <v>#VALUE!</v>
      </c>
      <c r="CC44" s="6" t="e">
        <f t="shared" si="42"/>
        <v>#DIV/0!</v>
      </c>
      <c r="CD44" s="6" t="e">
        <f t="shared" si="42"/>
        <v>#VALUE!</v>
      </c>
      <c r="CE44" s="6" t="e">
        <f t="shared" si="42"/>
        <v>#VALUE!</v>
      </c>
      <c r="CF44" s="6">
        <f t="shared" si="42"/>
        <v>0.1180826848513979</v>
      </c>
      <c r="CG44" s="6">
        <f t="shared" si="42"/>
        <v>0.47908129375951297</v>
      </c>
      <c r="CR44" s="1"/>
    </row>
    <row r="45" spans="1:96">
      <c r="A45" s="1"/>
      <c r="B45" s="2" t="s">
        <v>12</v>
      </c>
      <c r="C45" t="e">
        <f t="shared" ref="C45:I45" si="43">C34/(C21*8.76)</f>
        <v>#VALUE!</v>
      </c>
      <c r="D45" t="e">
        <f t="shared" si="43"/>
        <v>#VALUE!</v>
      </c>
      <c r="E45" s="6" t="e">
        <f t="shared" si="43"/>
        <v>#DIV/0!</v>
      </c>
      <c r="F45" s="6">
        <f t="shared" si="43"/>
        <v>0.62965905631659058</v>
      </c>
      <c r="G45" s="6">
        <f t="shared" si="43"/>
        <v>0.7738982288639823</v>
      </c>
      <c r="H45" s="6" t="e">
        <f t="shared" si="43"/>
        <v>#DIV/0!</v>
      </c>
      <c r="I45" s="6" t="e">
        <f t="shared" si="43"/>
        <v>#DIV/0!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1"/>
      <c r="U45" s="2" t="s">
        <v>12</v>
      </c>
      <c r="V45" t="e">
        <f t="shared" ref="V45:AB45" si="44">V34/(V21*8.76)</f>
        <v>#VALUE!</v>
      </c>
      <c r="W45" t="e">
        <f t="shared" si="44"/>
        <v>#VALUE!</v>
      </c>
      <c r="X45" s="6" t="e">
        <f t="shared" si="44"/>
        <v>#DIV/0!</v>
      </c>
      <c r="Y45" s="6">
        <f t="shared" si="44"/>
        <v>0.62965905631659058</v>
      </c>
      <c r="Z45" s="6">
        <f t="shared" si="44"/>
        <v>0.7738982288639823</v>
      </c>
      <c r="AA45" s="6" t="e">
        <f t="shared" si="44"/>
        <v>#DIV/0!</v>
      </c>
      <c r="AB45" s="6" t="e">
        <f t="shared" si="44"/>
        <v>#DIV/0!</v>
      </c>
      <c r="AM45" s="1"/>
      <c r="AN45" s="2" t="s">
        <v>12</v>
      </c>
      <c r="AO45" t="e">
        <f t="shared" ref="AO45:AU45" si="45">AO34/(AO21*8.76)</f>
        <v>#VALUE!</v>
      </c>
      <c r="AP45" t="e">
        <f t="shared" si="45"/>
        <v>#VALUE!</v>
      </c>
      <c r="AQ45" s="6" t="e">
        <f t="shared" si="45"/>
        <v>#DIV/0!</v>
      </c>
      <c r="AR45" s="6">
        <f t="shared" si="45"/>
        <v>0.62965905631659058</v>
      </c>
      <c r="AS45" s="6">
        <f t="shared" si="45"/>
        <v>0.7738982288639823</v>
      </c>
      <c r="AT45" s="6" t="e">
        <f t="shared" si="45"/>
        <v>#DIV/0!</v>
      </c>
      <c r="AU45" s="6" t="e">
        <f t="shared" si="45"/>
        <v>#DIV/0!</v>
      </c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1"/>
      <c r="BG45" s="2" t="s">
        <v>12</v>
      </c>
      <c r="BH45" t="e">
        <f t="shared" ref="BH45:BN45" si="46">BH34/(BH21*8.76)</f>
        <v>#VALUE!</v>
      </c>
      <c r="BI45" t="e">
        <f t="shared" si="46"/>
        <v>#VALUE!</v>
      </c>
      <c r="BJ45" s="6" t="e">
        <f t="shared" si="46"/>
        <v>#DIV/0!</v>
      </c>
      <c r="BK45" s="6">
        <f t="shared" si="46"/>
        <v>0.62965905631659058</v>
      </c>
      <c r="BL45" s="6">
        <f t="shared" si="46"/>
        <v>0.7738982288639823</v>
      </c>
      <c r="BM45" s="6" t="e">
        <f t="shared" si="46"/>
        <v>#DIV/0!</v>
      </c>
      <c r="BN45" s="6" t="e">
        <f t="shared" si="46"/>
        <v>#DIV/0!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1"/>
      <c r="BZ45" s="2" t="s">
        <v>12</v>
      </c>
      <c r="CA45" t="e">
        <f t="shared" ref="CA45:CG45" si="47">CA34/(CA21*8.76)</f>
        <v>#VALUE!</v>
      </c>
      <c r="CB45" t="e">
        <f t="shared" si="47"/>
        <v>#VALUE!</v>
      </c>
      <c r="CC45" s="6" t="e">
        <f t="shared" si="47"/>
        <v>#DIV/0!</v>
      </c>
      <c r="CD45" s="6">
        <f t="shared" si="47"/>
        <v>0.62965905631659058</v>
      </c>
      <c r="CE45" s="6">
        <f t="shared" si="47"/>
        <v>0.7738982288639823</v>
      </c>
      <c r="CF45" s="6" t="e">
        <f t="shared" si="47"/>
        <v>#DIV/0!</v>
      </c>
      <c r="CG45" s="6" t="e">
        <f t="shared" si="47"/>
        <v>#DIV/0!</v>
      </c>
      <c r="CR45" s="1"/>
    </row>
    <row r="46" spans="1:96">
      <c r="A46" s="1"/>
      <c r="B46" s="2" t="s">
        <v>13</v>
      </c>
      <c r="C46" s="6">
        <f t="shared" ref="C46:I46" si="48">C35/(C22*8.76)</f>
        <v>6.4677009132420096E-2</v>
      </c>
      <c r="D46" t="e">
        <f t="shared" si="48"/>
        <v>#DIV/0!</v>
      </c>
      <c r="E46" s="6" t="e">
        <f t="shared" si="48"/>
        <v>#DIV/0!</v>
      </c>
      <c r="F46" s="6">
        <f t="shared" si="48"/>
        <v>0.64840638356164393</v>
      </c>
      <c r="G46" s="6">
        <f t="shared" si="48"/>
        <v>0.1670884703196347</v>
      </c>
      <c r="H46" s="6">
        <f t="shared" si="48"/>
        <v>0.17996938104972099</v>
      </c>
      <c r="I46" s="6">
        <f t="shared" si="48"/>
        <v>0.46369159634267537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1"/>
      <c r="U46" s="2" t="s">
        <v>13</v>
      </c>
      <c r="V46" s="6">
        <f t="shared" ref="V46:AB46" si="49">V35/(V22*8.76)</f>
        <v>3.7214611872146121E-2</v>
      </c>
      <c r="W46" t="e">
        <f t="shared" si="49"/>
        <v>#DIV/0!</v>
      </c>
      <c r="X46" s="6" t="e">
        <f t="shared" si="49"/>
        <v>#DIV/0!</v>
      </c>
      <c r="Y46" s="6">
        <f t="shared" si="49"/>
        <v>0.63311723972602729</v>
      </c>
      <c r="Z46" s="6">
        <f t="shared" si="49"/>
        <v>0.15011854642313546</v>
      </c>
      <c r="AA46" s="6">
        <f t="shared" si="49"/>
        <v>0.17933421854634782</v>
      </c>
      <c r="AB46" s="6">
        <f t="shared" si="49"/>
        <v>0.47344814592980361</v>
      </c>
      <c r="AM46" s="1"/>
      <c r="AN46" s="2" t="s">
        <v>13</v>
      </c>
      <c r="AO46" s="6">
        <f t="shared" ref="AO46:AU46" si="50">AO35/(AO22*8.76)</f>
        <v>3.689746575342466E-2</v>
      </c>
      <c r="AP46" t="e">
        <f t="shared" si="50"/>
        <v>#DIV/0!</v>
      </c>
      <c r="AQ46" s="6" t="e">
        <f t="shared" si="50"/>
        <v>#DIV/0!</v>
      </c>
      <c r="AR46" s="6">
        <f t="shared" si="50"/>
        <v>0.62383850456621004</v>
      </c>
      <c r="AS46" s="6">
        <f t="shared" si="50"/>
        <v>0.14208593607305936</v>
      </c>
      <c r="AT46" s="6">
        <f t="shared" si="50"/>
        <v>0.17734863334223019</v>
      </c>
      <c r="AU46" s="6">
        <f t="shared" si="50"/>
        <v>0.4651259652827115</v>
      </c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1"/>
      <c r="BG46" s="2" t="s">
        <v>13</v>
      </c>
      <c r="BH46" s="6">
        <f t="shared" ref="BH46:BN46" si="51">BH35/(BH22*8.76)</f>
        <v>0.16198718036529683</v>
      </c>
      <c r="BI46" t="e">
        <f t="shared" si="51"/>
        <v>#DIV/0!</v>
      </c>
      <c r="BJ46" s="6" t="e">
        <f t="shared" si="51"/>
        <v>#DIV/0!</v>
      </c>
      <c r="BK46" s="6">
        <f t="shared" si="51"/>
        <v>0.65232365068493148</v>
      </c>
      <c r="BL46" s="6">
        <f t="shared" si="51"/>
        <v>0.18803573059360731</v>
      </c>
      <c r="BM46" s="6">
        <f t="shared" si="51"/>
        <v>0.18496260751128477</v>
      </c>
      <c r="BN46" s="6">
        <f t="shared" si="51"/>
        <v>0.47920594062974681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1"/>
      <c r="BZ46" s="2" t="s">
        <v>13</v>
      </c>
      <c r="CA46" s="6">
        <f t="shared" ref="CA46:CG46" si="52">CA35/(CA22*8.76)</f>
        <v>4.1968858447488586E-2</v>
      </c>
      <c r="CB46" t="e">
        <f t="shared" si="52"/>
        <v>#DIV/0!</v>
      </c>
      <c r="CC46" s="6" t="e">
        <f t="shared" si="52"/>
        <v>#DIV/0!</v>
      </c>
      <c r="CD46" s="6">
        <f t="shared" si="52"/>
        <v>0.61493907837107453</v>
      </c>
      <c r="CE46" s="6">
        <f t="shared" si="52"/>
        <v>5.9356993911719932E-2</v>
      </c>
      <c r="CF46" s="6">
        <f t="shared" si="52"/>
        <v>9.6134998340744751E-2</v>
      </c>
      <c r="CG46" s="6">
        <f t="shared" si="52"/>
        <v>0.30508059627803452</v>
      </c>
      <c r="CR46" s="1"/>
    </row>
    <row r="47" spans="1:96">
      <c r="A47" s="1"/>
      <c r="B47" s="2" t="s">
        <v>14</v>
      </c>
      <c r="C47" s="6" t="e">
        <f t="shared" ref="C47:I47" si="53">C36/(C23*8.76)</f>
        <v>#VALUE!</v>
      </c>
      <c r="D47" t="e">
        <f t="shared" si="53"/>
        <v>#VALUE!</v>
      </c>
      <c r="E47" s="6" t="e">
        <f t="shared" si="53"/>
        <v>#DIV/0!</v>
      </c>
      <c r="F47" s="6">
        <f t="shared" si="53"/>
        <v>0.65838233313419992</v>
      </c>
      <c r="G47" s="6" t="e">
        <f t="shared" si="53"/>
        <v>#DIV/0!</v>
      </c>
      <c r="H47" s="6">
        <f t="shared" si="53"/>
        <v>0.17084277064326828</v>
      </c>
      <c r="I47" s="6">
        <f t="shared" si="53"/>
        <v>0.47746878632648265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1"/>
      <c r="U47" s="2" t="s">
        <v>14</v>
      </c>
      <c r="V47" s="6" t="e">
        <f t="shared" ref="V47:AB47" si="54">V36/(V23*8.76)</f>
        <v>#VALUE!</v>
      </c>
      <c r="W47" t="e">
        <f t="shared" si="54"/>
        <v>#VALUE!</v>
      </c>
      <c r="X47" s="6" t="e">
        <f t="shared" si="54"/>
        <v>#DIV/0!</v>
      </c>
      <c r="Y47" s="6">
        <f t="shared" si="54"/>
        <v>0.65845107699821837</v>
      </c>
      <c r="Z47" s="6" t="e">
        <f t="shared" si="54"/>
        <v>#DIV/0!</v>
      </c>
      <c r="AA47" s="6">
        <f t="shared" si="54"/>
        <v>0.17082395515106932</v>
      </c>
      <c r="AB47" s="6">
        <f t="shared" si="54"/>
        <v>0.477367149643037</v>
      </c>
      <c r="AM47" s="1"/>
      <c r="AN47" s="2" t="s">
        <v>14</v>
      </c>
      <c r="AO47" s="6" t="e">
        <f t="shared" ref="AO47:AU47" si="55">AO36/(AO23*8.76)</f>
        <v>#VALUE!</v>
      </c>
      <c r="AP47" t="e">
        <f t="shared" si="55"/>
        <v>#VALUE!</v>
      </c>
      <c r="AQ47" s="6" t="e">
        <f t="shared" si="55"/>
        <v>#DIV/0!</v>
      </c>
      <c r="AR47" s="6">
        <f t="shared" si="55"/>
        <v>0.66007602119130082</v>
      </c>
      <c r="AS47" s="6" t="e">
        <f t="shared" si="55"/>
        <v>#DIV/0!</v>
      </c>
      <c r="AT47" s="6">
        <f t="shared" si="55"/>
        <v>0.17169296198596445</v>
      </c>
      <c r="AU47" s="6">
        <f t="shared" si="55"/>
        <v>0.48147161852035752</v>
      </c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1"/>
      <c r="BG47" s="2" t="s">
        <v>14</v>
      </c>
      <c r="BH47" s="6" t="e">
        <f t="shared" ref="BH47:BN47" si="56">BH36/(BH23*8.76)</f>
        <v>#VALUE!</v>
      </c>
      <c r="BI47" t="e">
        <f t="shared" si="56"/>
        <v>#VALUE!</v>
      </c>
      <c r="BJ47" s="6" t="e">
        <f t="shared" si="56"/>
        <v>#DIV/0!</v>
      </c>
      <c r="BK47" s="6">
        <f t="shared" si="56"/>
        <v>0.66947578196347035</v>
      </c>
      <c r="BL47" s="6" t="e">
        <f t="shared" si="56"/>
        <v>#DIV/0!</v>
      </c>
      <c r="BM47" s="6">
        <f t="shared" si="56"/>
        <v>0.1799635208462175</v>
      </c>
      <c r="BN47" s="6">
        <f t="shared" si="56"/>
        <v>0.50901158637250876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1"/>
      <c r="BZ47" s="2" t="s">
        <v>14</v>
      </c>
      <c r="CA47" s="6" t="e">
        <f t="shared" ref="CA47:CG47" si="57">CA36/(CA23*8.76)</f>
        <v>#VALUE!</v>
      </c>
      <c r="CB47" t="e">
        <f t="shared" si="57"/>
        <v>#VALUE!</v>
      </c>
      <c r="CC47" s="6" t="e">
        <f t="shared" si="57"/>
        <v>#DIV/0!</v>
      </c>
      <c r="CD47" s="6" t="e">
        <f t="shared" si="57"/>
        <v>#DIV/0!</v>
      </c>
      <c r="CE47" s="6" t="e">
        <f t="shared" si="57"/>
        <v>#DIV/0!</v>
      </c>
      <c r="CF47" s="6">
        <f t="shared" si="57"/>
        <v>9.582810733783366E-2</v>
      </c>
      <c r="CG47" s="6">
        <f t="shared" si="57"/>
        <v>0.26185352511726756</v>
      </c>
      <c r="CR47" s="1"/>
    </row>
    <row r="48" spans="1:96">
      <c r="A48" s="1"/>
      <c r="B48" s="2" t="s">
        <v>15</v>
      </c>
      <c r="C48" s="6" t="e">
        <f t="shared" ref="C48:I48" si="58">C37/(C24*8.76)</f>
        <v>#VALUE!</v>
      </c>
      <c r="D48" t="e">
        <f t="shared" si="58"/>
        <v>#VALUE!</v>
      </c>
      <c r="E48" s="6" t="e">
        <f t="shared" si="58"/>
        <v>#DIV/0!</v>
      </c>
      <c r="F48" s="6">
        <f t="shared" si="58"/>
        <v>0.6243835881268146</v>
      </c>
      <c r="G48" s="6" t="e">
        <f t="shared" si="58"/>
        <v>#VALUE!</v>
      </c>
      <c r="H48" s="6">
        <f t="shared" si="58"/>
        <v>0.17111052618112726</v>
      </c>
      <c r="I48" s="6">
        <f t="shared" si="58"/>
        <v>0.48171905454777497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1"/>
      <c r="U48" s="2" t="s">
        <v>15</v>
      </c>
      <c r="V48" s="6" t="e">
        <f t="shared" ref="V48:AB48" si="59">V37/(V24*8.76)</f>
        <v>#VALUE!</v>
      </c>
      <c r="W48" t="e">
        <f t="shared" si="59"/>
        <v>#VALUE!</v>
      </c>
      <c r="X48" s="6" t="e">
        <f t="shared" si="59"/>
        <v>#DIV/0!</v>
      </c>
      <c r="Y48" s="6" t="e">
        <f t="shared" si="59"/>
        <v>#DIV/0!</v>
      </c>
      <c r="Z48" s="6" t="e">
        <f t="shared" si="59"/>
        <v>#VALUE!</v>
      </c>
      <c r="AA48" s="6">
        <f t="shared" si="59"/>
        <v>0.17087689678110068</v>
      </c>
      <c r="AB48" s="6">
        <f t="shared" si="59"/>
        <v>0.48427728556781063</v>
      </c>
      <c r="AM48" s="1"/>
      <c r="AN48" s="2" t="s">
        <v>15</v>
      </c>
      <c r="AO48" s="6" t="e">
        <f t="shared" ref="AO48:AU48" si="60">AO37/(AO24*8.76)</f>
        <v>#VALUE!</v>
      </c>
      <c r="AP48" t="e">
        <f t="shared" si="60"/>
        <v>#VALUE!</v>
      </c>
      <c r="AQ48" s="6" t="e">
        <f t="shared" si="60"/>
        <v>#DIV/0!</v>
      </c>
      <c r="AR48" s="6" t="e">
        <f t="shared" si="60"/>
        <v>#DIV/0!</v>
      </c>
      <c r="AS48" s="6" t="e">
        <f t="shared" si="60"/>
        <v>#VALUE!</v>
      </c>
      <c r="AT48" s="6">
        <f t="shared" si="60"/>
        <v>0.17013437421227301</v>
      </c>
      <c r="AU48" s="6">
        <f t="shared" si="60"/>
        <v>0.47969022554840723</v>
      </c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1"/>
      <c r="BG48" s="2" t="s">
        <v>15</v>
      </c>
      <c r="BH48" s="6" t="e">
        <f t="shared" ref="BH48:BN48" si="61">BH37/(BH24*8.76)</f>
        <v>#VALUE!</v>
      </c>
      <c r="BI48" t="e">
        <f t="shared" si="61"/>
        <v>#VALUE!</v>
      </c>
      <c r="BJ48" s="6" t="e">
        <f t="shared" si="61"/>
        <v>#DIV/0!</v>
      </c>
      <c r="BK48" s="6">
        <f t="shared" si="61"/>
        <v>0.65367648401826484</v>
      </c>
      <c r="BL48" s="6" t="e">
        <f t="shared" si="61"/>
        <v>#VALUE!</v>
      </c>
      <c r="BM48" s="6">
        <f t="shared" si="61"/>
        <v>0.18494227226935858</v>
      </c>
      <c r="BN48" s="6">
        <f t="shared" si="61"/>
        <v>0.53043468728298782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1"/>
      <c r="BZ48" s="2" t="s">
        <v>15</v>
      </c>
      <c r="CA48" s="6" t="e">
        <f t="shared" ref="CA48:CG48" si="62">CA37/(CA24*8.76)</f>
        <v>#VALUE!</v>
      </c>
      <c r="CB48" t="e">
        <f t="shared" si="62"/>
        <v>#VALUE!</v>
      </c>
      <c r="CC48" s="6" t="e">
        <f t="shared" si="62"/>
        <v>#DIV/0!</v>
      </c>
      <c r="CD48" s="6" t="e">
        <f t="shared" si="62"/>
        <v>#DIV/0!</v>
      </c>
      <c r="CE48" s="6" t="e">
        <f t="shared" si="62"/>
        <v>#VALUE!</v>
      </c>
      <c r="CF48" s="6">
        <f t="shared" si="62"/>
        <v>9.9227726512343239E-2</v>
      </c>
      <c r="CG48" s="6">
        <f t="shared" si="62"/>
        <v>0.26877708405472894</v>
      </c>
      <c r="CR48" s="1"/>
    </row>
    <row r="49" spans="1:96">
      <c r="A49" s="1"/>
      <c r="B49" s="2" t="s">
        <v>16</v>
      </c>
      <c r="C49" s="6" t="e">
        <f t="shared" ref="C49:I49" si="63">C38/(C25*8.76)</f>
        <v>#VALUE!</v>
      </c>
      <c r="D49" t="e">
        <f t="shared" si="63"/>
        <v>#VALUE!</v>
      </c>
      <c r="E49" s="6" t="e">
        <f t="shared" si="63"/>
        <v>#DIV/0!</v>
      </c>
      <c r="F49" s="6">
        <f t="shared" si="63"/>
        <v>0.66271672810306614</v>
      </c>
      <c r="G49" s="6" t="e">
        <f t="shared" si="63"/>
        <v>#VALUE!</v>
      </c>
      <c r="H49" s="6">
        <f t="shared" si="63"/>
        <v>0.19662505304670161</v>
      </c>
      <c r="I49" s="6">
        <f t="shared" si="63"/>
        <v>0.49516926301813585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1"/>
      <c r="U49" s="2" t="s">
        <v>16</v>
      </c>
      <c r="V49" s="6" t="e">
        <f t="shared" ref="V49:AB49" si="64">V38/(V25*8.76)</f>
        <v>#VALUE!</v>
      </c>
      <c r="W49" t="e">
        <f t="shared" si="64"/>
        <v>#VALUE!</v>
      </c>
      <c r="X49" s="6" t="e">
        <f t="shared" si="64"/>
        <v>#DIV/0!</v>
      </c>
      <c r="Y49" s="6">
        <f t="shared" si="64"/>
        <v>0.66326275342274876</v>
      </c>
      <c r="Z49" s="6" t="e">
        <f t="shared" si="64"/>
        <v>#VALUE!</v>
      </c>
      <c r="AA49" s="6">
        <f t="shared" si="64"/>
        <v>0.19689111824066829</v>
      </c>
      <c r="AB49" s="6">
        <f t="shared" si="64"/>
        <v>0.49636652858322272</v>
      </c>
      <c r="AM49" s="1"/>
      <c r="AN49" s="2" t="s">
        <v>16</v>
      </c>
      <c r="AO49" s="6" t="e">
        <f t="shared" ref="AO49:AU49" si="65">AO38/(AO25*8.76)</f>
        <v>#VALUE!</v>
      </c>
      <c r="AP49" t="e">
        <f t="shared" si="65"/>
        <v>#VALUE!</v>
      </c>
      <c r="AQ49" s="6" t="e">
        <f t="shared" si="65"/>
        <v>#DIV/0!</v>
      </c>
      <c r="AR49" s="6">
        <f t="shared" si="65"/>
        <v>0.67184722878127801</v>
      </c>
      <c r="AS49" s="6" t="e">
        <f t="shared" si="65"/>
        <v>#VALUE!</v>
      </c>
      <c r="AT49" s="6">
        <f t="shared" si="65"/>
        <v>0.19814997712452234</v>
      </c>
      <c r="AU49" s="6">
        <f t="shared" si="65"/>
        <v>0.49857203583285942</v>
      </c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1"/>
      <c r="BG49" s="2" t="s">
        <v>16</v>
      </c>
      <c r="BH49" s="6" t="e">
        <f t="shared" ref="BH49:BN49" si="66">BH38/(BH25*8.76)</f>
        <v>#VALUE!</v>
      </c>
      <c r="BI49" t="e">
        <f t="shared" si="66"/>
        <v>#VALUE!</v>
      </c>
      <c r="BJ49" s="6" t="e">
        <f t="shared" si="66"/>
        <v>#DIV/0!</v>
      </c>
      <c r="BK49" s="6">
        <f t="shared" si="66"/>
        <v>0.73222639746558993</v>
      </c>
      <c r="BL49" s="6" t="e">
        <f t="shared" si="66"/>
        <v>#VALUE!</v>
      </c>
      <c r="BM49" s="6">
        <f t="shared" si="66"/>
        <v>0.20065432360327989</v>
      </c>
      <c r="BN49" s="6">
        <f t="shared" si="66"/>
        <v>0.50536957294278106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1"/>
      <c r="BZ49" s="2" t="s">
        <v>16</v>
      </c>
      <c r="CA49" s="6" t="e">
        <f t="shared" ref="CA49:CG49" si="67">CA38/(CA25*8.76)</f>
        <v>#VALUE!</v>
      </c>
      <c r="CB49" t="e">
        <f t="shared" si="67"/>
        <v>#VALUE!</v>
      </c>
      <c r="CC49" s="6" t="e">
        <f t="shared" si="67"/>
        <v>#DIV/0!</v>
      </c>
      <c r="CD49" s="6">
        <f t="shared" si="67"/>
        <v>0.6351282343987823</v>
      </c>
      <c r="CE49" s="6" t="e">
        <f t="shared" si="67"/>
        <v>#VALUE!</v>
      </c>
      <c r="CF49" s="6">
        <f t="shared" si="67"/>
        <v>0.16003454424876493</v>
      </c>
      <c r="CG49" s="6">
        <f t="shared" si="67"/>
        <v>0.44164721482001151</v>
      </c>
      <c r="CR49" s="1"/>
    </row>
    <row r="50" spans="1:96">
      <c r="A50" s="1"/>
      <c r="B50" s="2" t="s">
        <v>17</v>
      </c>
      <c r="C50" s="6">
        <f t="shared" ref="C50:I50" si="68">C39/(C26*8.76)</f>
        <v>9.492223656056295E-2</v>
      </c>
      <c r="D50" t="e">
        <f t="shared" si="68"/>
        <v>#VALUE!</v>
      </c>
      <c r="E50" s="6" t="e">
        <f t="shared" si="68"/>
        <v>#DIV/0!</v>
      </c>
      <c r="F50" s="6">
        <f t="shared" si="68"/>
        <v>0.65038311752196376</v>
      </c>
      <c r="G50" s="6" t="e">
        <f t="shared" si="68"/>
        <v>#VALUE!</v>
      </c>
      <c r="H50" s="6">
        <f t="shared" si="68"/>
        <v>0.17721483632943252</v>
      </c>
      <c r="I50" s="6">
        <f t="shared" si="68"/>
        <v>0.49563207634798023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1"/>
      <c r="U50" s="2" t="s">
        <v>17</v>
      </c>
      <c r="V50" s="6">
        <f t="shared" ref="V50:AB50" si="69">V39/(V26*8.76)</f>
        <v>0.1017527242847374</v>
      </c>
      <c r="W50" t="e">
        <f t="shared" si="69"/>
        <v>#VALUE!</v>
      </c>
      <c r="X50" s="6" t="e">
        <f t="shared" si="69"/>
        <v>#DIV/0!</v>
      </c>
      <c r="Y50" s="6" t="e">
        <f t="shared" si="69"/>
        <v>#DIV/0!</v>
      </c>
      <c r="Z50" s="6" t="e">
        <f t="shared" si="69"/>
        <v>#VALUE!</v>
      </c>
      <c r="AA50" s="6">
        <f t="shared" si="69"/>
        <v>0.17746722830905615</v>
      </c>
      <c r="AB50" s="6">
        <f t="shared" si="69"/>
        <v>0.49962643665992029</v>
      </c>
      <c r="AM50" s="1"/>
      <c r="AN50" s="2" t="s">
        <v>17</v>
      </c>
      <c r="AO50" s="6">
        <f t="shared" ref="AO50:AU50" si="70">AO39/(AO26*8.76)</f>
        <v>9.658447212847153E-2</v>
      </c>
      <c r="AP50" t="e">
        <f t="shared" si="70"/>
        <v>#VALUE!</v>
      </c>
      <c r="AQ50" s="6" t="e">
        <f t="shared" si="70"/>
        <v>#DIV/0!</v>
      </c>
      <c r="AR50" s="6" t="e">
        <f t="shared" si="70"/>
        <v>#DIV/0!</v>
      </c>
      <c r="AS50" s="6" t="e">
        <f t="shared" si="70"/>
        <v>#VALUE!</v>
      </c>
      <c r="AT50" s="6">
        <f t="shared" si="70"/>
        <v>0.1770206470396718</v>
      </c>
      <c r="AU50" s="6">
        <f t="shared" si="70"/>
        <v>0.49896337377161265</v>
      </c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1"/>
      <c r="BG50" s="2" t="s">
        <v>17</v>
      </c>
      <c r="BH50" s="6">
        <f t="shared" ref="BH50:BN50" si="71">BH39/(BH26*8.76)</f>
        <v>0.11195571107140494</v>
      </c>
      <c r="BI50" t="e">
        <f t="shared" si="71"/>
        <v>#VALUE!</v>
      </c>
      <c r="BJ50" s="6" t="e">
        <f t="shared" si="71"/>
        <v>#DIV/0!</v>
      </c>
      <c r="BK50" s="6">
        <f t="shared" si="71"/>
        <v>0.67573914383561651</v>
      </c>
      <c r="BL50" s="6" t="e">
        <f t="shared" si="71"/>
        <v>#VALUE!</v>
      </c>
      <c r="BM50" s="6">
        <f t="shared" si="71"/>
        <v>0.18709610161343115</v>
      </c>
      <c r="BN50" s="6">
        <f t="shared" si="71"/>
        <v>0.5270373588462125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1"/>
      <c r="BZ50" s="2" t="s">
        <v>17</v>
      </c>
      <c r="CA50" s="6">
        <f t="shared" ref="CA50:CG50" si="72">CA39/(CA26*8.76)</f>
        <v>3.763100280149119E-2</v>
      </c>
      <c r="CB50" t="e">
        <f t="shared" si="72"/>
        <v>#VALUE!</v>
      </c>
      <c r="CC50" s="6" t="e">
        <f t="shared" si="72"/>
        <v>#DIV/0!</v>
      </c>
      <c r="CD50" s="6" t="e">
        <f t="shared" si="72"/>
        <v>#DIV/0!</v>
      </c>
      <c r="CE50" s="6" t="e">
        <f t="shared" si="72"/>
        <v>#VALUE!</v>
      </c>
      <c r="CF50" s="6">
        <f t="shared" si="72"/>
        <v>0.10670557515826085</v>
      </c>
      <c r="CG50" s="6">
        <f t="shared" si="72"/>
        <v>0.36923668122146119</v>
      </c>
      <c r="CR50" s="1"/>
    </row>
    <row r="51" spans="1:96">
      <c r="A51" s="1"/>
      <c r="B51" s="2" t="s">
        <v>18</v>
      </c>
      <c r="C51" t="e">
        <f t="shared" ref="C51:I51" si="73">C40/(C27*8.76)</f>
        <v>#VALUE!</v>
      </c>
      <c r="D51" t="e">
        <f t="shared" si="73"/>
        <v>#VALUE!</v>
      </c>
      <c r="E51" s="6" t="e">
        <f t="shared" si="73"/>
        <v>#DIV/0!</v>
      </c>
      <c r="F51" s="6">
        <f t="shared" si="73"/>
        <v>0.67209353494402868</v>
      </c>
      <c r="G51" s="6" t="e">
        <f t="shared" si="73"/>
        <v>#VALUE!</v>
      </c>
      <c r="H51" s="6">
        <f t="shared" si="73"/>
        <v>0.19748406895584333</v>
      </c>
      <c r="I51" s="6">
        <f t="shared" si="73"/>
        <v>0.48568083568722958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1"/>
      <c r="U51" s="2" t="s">
        <v>18</v>
      </c>
      <c r="V51" t="e">
        <f t="shared" ref="V51:AB51" si="74">V40/(V27*8.76)</f>
        <v>#VALUE!</v>
      </c>
      <c r="W51" t="e">
        <f t="shared" si="74"/>
        <v>#VALUE!</v>
      </c>
      <c r="X51" s="6" t="e">
        <f t="shared" si="74"/>
        <v>#DIV/0!</v>
      </c>
      <c r="Y51" s="6">
        <f t="shared" si="74"/>
        <v>0.66931103602033193</v>
      </c>
      <c r="Z51" s="6" t="e">
        <f t="shared" si="74"/>
        <v>#VALUE!</v>
      </c>
      <c r="AA51" s="6">
        <f t="shared" si="74"/>
        <v>0.19717806271867341</v>
      </c>
      <c r="AB51" s="6">
        <f t="shared" si="74"/>
        <v>0.48462201105458919</v>
      </c>
      <c r="AM51" s="1"/>
      <c r="AN51" s="2" t="s">
        <v>18</v>
      </c>
      <c r="AO51" t="e">
        <f t="shared" ref="AO51:AU51" si="75">AO40/(AO27*8.76)</f>
        <v>#VALUE!</v>
      </c>
      <c r="AP51" t="e">
        <f t="shared" si="75"/>
        <v>#VALUE!</v>
      </c>
      <c r="AQ51" s="6" t="e">
        <f t="shared" si="75"/>
        <v>#DIV/0!</v>
      </c>
      <c r="AR51" s="6">
        <f t="shared" si="75"/>
        <v>0.67203141605184802</v>
      </c>
      <c r="AS51" s="6" t="e">
        <f t="shared" si="75"/>
        <v>#VALUE!</v>
      </c>
      <c r="AT51" s="6">
        <f t="shared" si="75"/>
        <v>0.19756885744536043</v>
      </c>
      <c r="AU51" s="6">
        <f t="shared" si="75"/>
        <v>0.48475809048009266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1"/>
      <c r="BG51" s="2" t="s">
        <v>18</v>
      </c>
      <c r="BH51" t="e">
        <f t="shared" ref="BH51:BN51" si="76">BH40/(BH27*8.76)</f>
        <v>#VALUE!</v>
      </c>
      <c r="BI51" t="e">
        <f t="shared" si="76"/>
        <v>#VALUE!</v>
      </c>
      <c r="BJ51" s="6" t="e">
        <f t="shared" si="76"/>
        <v>#DIV/0!</v>
      </c>
      <c r="BK51" s="6">
        <f t="shared" si="76"/>
        <v>0.73025447869101978</v>
      </c>
      <c r="BL51" s="6" t="e">
        <f t="shared" si="76"/>
        <v>#VALUE!</v>
      </c>
      <c r="BM51" s="6">
        <f t="shared" si="76"/>
        <v>0.20002113279963887</v>
      </c>
      <c r="BN51" s="6">
        <f t="shared" si="76"/>
        <v>0.49158992320464923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1"/>
      <c r="BZ51" s="2" t="s">
        <v>18</v>
      </c>
      <c r="CA51" t="e">
        <f t="shared" ref="CA51:CG51" si="77">CA40/(CA27*8.76)</f>
        <v>#VALUE!</v>
      </c>
      <c r="CB51" t="e">
        <f t="shared" si="77"/>
        <v>#VALUE!</v>
      </c>
      <c r="CC51" s="6" t="e">
        <f t="shared" si="77"/>
        <v>#DIV/0!</v>
      </c>
      <c r="CD51" s="6">
        <f t="shared" si="77"/>
        <v>0.61865926940639271</v>
      </c>
      <c r="CE51" s="6" t="e">
        <f t="shared" si="77"/>
        <v>#VALUE!</v>
      </c>
      <c r="CF51" s="6">
        <f t="shared" si="77"/>
        <v>9.3817882902034425E-2</v>
      </c>
      <c r="CG51" s="6">
        <f t="shared" si="77"/>
        <v>0.35927250663991067</v>
      </c>
      <c r="CR51" s="1"/>
    </row>
    <row r="52" spans="1:96">
      <c r="A52" s="1"/>
      <c r="B52" s="2" t="s">
        <v>19</v>
      </c>
      <c r="C52" t="e">
        <f t="shared" ref="C52:I52" si="78">C41/(C28*8.76)</f>
        <v>#VALUE!</v>
      </c>
      <c r="D52" t="e">
        <f t="shared" si="78"/>
        <v>#VALUE!</v>
      </c>
      <c r="E52" s="6" t="e">
        <f t="shared" si="78"/>
        <v>#DIV/0!</v>
      </c>
      <c r="F52" s="6" t="e">
        <f t="shared" si="78"/>
        <v>#DIV/0!</v>
      </c>
      <c r="G52" s="6">
        <f t="shared" si="78"/>
        <v>0.21047831050228311</v>
      </c>
      <c r="H52" s="6">
        <f t="shared" si="78"/>
        <v>0.18456155725239737</v>
      </c>
      <c r="I52" s="6">
        <f t="shared" si="78"/>
        <v>0.5026982210741292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1"/>
      <c r="U52" s="2" t="s">
        <v>19</v>
      </c>
      <c r="V52" t="e">
        <f t="shared" ref="V52:AB52" si="79">V41/(V28*8.76)</f>
        <v>#VALUE!</v>
      </c>
      <c r="W52" t="e">
        <f t="shared" si="79"/>
        <v>#VALUE!</v>
      </c>
      <c r="X52" s="6" t="e">
        <f t="shared" si="79"/>
        <v>#DIV/0!</v>
      </c>
      <c r="Y52" s="6" t="e">
        <f t="shared" si="79"/>
        <v>#DIV/0!</v>
      </c>
      <c r="Z52" s="6">
        <f t="shared" si="79"/>
        <v>0.21046556792237445</v>
      </c>
      <c r="AA52" s="6">
        <f t="shared" si="79"/>
        <v>0.1844742238534611</v>
      </c>
      <c r="AB52" s="6">
        <f t="shared" si="79"/>
        <v>0.50278788350622261</v>
      </c>
      <c r="AM52" s="1"/>
      <c r="AN52" s="2" t="s">
        <v>19</v>
      </c>
      <c r="AO52" t="e">
        <f t="shared" ref="AO52:AU52" si="80">AO41/(AO28*8.76)</f>
        <v>#VALUE!</v>
      </c>
      <c r="AP52" t="e">
        <f t="shared" si="80"/>
        <v>#VALUE!</v>
      </c>
      <c r="AQ52" s="6" t="e">
        <f t="shared" si="80"/>
        <v>#DIV/0!</v>
      </c>
      <c r="AR52" s="6" t="e">
        <f t="shared" si="80"/>
        <v>#DIV/0!</v>
      </c>
      <c r="AS52" s="6">
        <f t="shared" si="80"/>
        <v>0.20889623287671233</v>
      </c>
      <c r="AT52" s="6">
        <f t="shared" si="80"/>
        <v>0.18419105176414885</v>
      </c>
      <c r="AU52" s="6">
        <f t="shared" si="80"/>
        <v>0.50216672402793694</v>
      </c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1"/>
      <c r="BG52" s="2" t="s">
        <v>19</v>
      </c>
      <c r="BH52" t="e">
        <f t="shared" ref="BH52:BN52" si="81">BH41/(BH28*8.76)</f>
        <v>#VALUE!</v>
      </c>
      <c r="BI52" t="e">
        <f t="shared" si="81"/>
        <v>#VALUE!</v>
      </c>
      <c r="BJ52" s="6" t="e">
        <f t="shared" si="81"/>
        <v>#DIV/0!</v>
      </c>
      <c r="BK52" s="6">
        <f t="shared" si="81"/>
        <v>0.61962990648210414</v>
      </c>
      <c r="BL52" s="6">
        <f t="shared" si="81"/>
        <v>0.30990042808219181</v>
      </c>
      <c r="BM52" s="6">
        <f t="shared" si="81"/>
        <v>0.19657762935817077</v>
      </c>
      <c r="BN52" s="6">
        <f t="shared" si="81"/>
        <v>0.53703442638331522</v>
      </c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1"/>
      <c r="BZ52" s="2" t="s">
        <v>19</v>
      </c>
      <c r="CA52" t="e">
        <f t="shared" ref="CA52:CG52" si="82">CA41/(CA28*8.76)</f>
        <v>#VALUE!</v>
      </c>
      <c r="CB52" t="e">
        <f t="shared" si="82"/>
        <v>#VALUE!</v>
      </c>
      <c r="CC52" s="6" t="e">
        <f t="shared" si="82"/>
        <v>#DIV/0!</v>
      </c>
      <c r="CD52" s="6" t="e">
        <f t="shared" si="82"/>
        <v>#DIV/0!</v>
      </c>
      <c r="CE52" s="6">
        <f t="shared" si="82"/>
        <v>0.10247213184931507</v>
      </c>
      <c r="CF52" s="6">
        <f t="shared" si="82"/>
        <v>0.13193807993958279</v>
      </c>
      <c r="CG52" s="6">
        <f t="shared" si="82"/>
        <v>0.38699688821981404</v>
      </c>
      <c r="CR52" s="1"/>
    </row>
    <row r="53" spans="1:96">
      <c r="A53" s="1"/>
      <c r="T53" s="1"/>
      <c r="AM53" s="1"/>
      <c r="BF53" s="1"/>
      <c r="BY53" s="1"/>
      <c r="CR53" s="1"/>
    </row>
    <row r="54" spans="1:96">
      <c r="A54" s="1"/>
      <c r="D54" t="s">
        <v>37</v>
      </c>
      <c r="E54">
        <f>SUM(C32:I41)</f>
        <v>8063.522965000001</v>
      </c>
      <c r="F54" s="4" t="s">
        <v>38</v>
      </c>
      <c r="T54" s="1"/>
      <c r="W54" t="s">
        <v>37</v>
      </c>
      <c r="X54">
        <f>SUM(V32:AB41)</f>
        <v>7838.492178999998</v>
      </c>
      <c r="Y54" s="4" t="s">
        <v>38</v>
      </c>
      <c r="AM54" s="1"/>
      <c r="AP54" t="s">
        <v>37</v>
      </c>
      <c r="AQ54">
        <f>SUM(AO32:AU41)</f>
        <v>7840.5573949999989</v>
      </c>
      <c r="AR54" s="4" t="s">
        <v>38</v>
      </c>
      <c r="BF54" s="1"/>
      <c r="BI54" t="s">
        <v>37</v>
      </c>
      <c r="BJ54">
        <f>SUM(BH32:BN41)</f>
        <v>7658.133976000001</v>
      </c>
      <c r="BK54" s="4" t="s">
        <v>38</v>
      </c>
      <c r="BY54" s="1"/>
      <c r="CB54" t="s">
        <v>37</v>
      </c>
      <c r="CC54">
        <f>SUM(CA32:CG41)</f>
        <v>6939.0906600000008</v>
      </c>
      <c r="CD54" s="4" t="s">
        <v>38</v>
      </c>
      <c r="CR54" s="1"/>
    </row>
    <row r="55" spans="1:96">
      <c r="A55" s="1"/>
      <c r="D55" t="s">
        <v>39</v>
      </c>
      <c r="E55">
        <f>SUM(E32:E41)</f>
        <v>0</v>
      </c>
      <c r="F55" s="4" t="s">
        <v>38</v>
      </c>
      <c r="T55" s="1"/>
      <c r="W55" t="s">
        <v>39</v>
      </c>
      <c r="X55">
        <f>SUM(X32:X41)</f>
        <v>0</v>
      </c>
      <c r="Y55" s="4" t="s">
        <v>38</v>
      </c>
      <c r="AM55" s="1"/>
      <c r="AP55" t="s">
        <v>39</v>
      </c>
      <c r="AQ55">
        <f>SUM(AQ32:AQ41)</f>
        <v>0</v>
      </c>
      <c r="AR55" s="4" t="s">
        <v>38</v>
      </c>
      <c r="BF55" s="1"/>
      <c r="BI55" t="s">
        <v>39</v>
      </c>
      <c r="BJ55">
        <f>SUM(BJ32:BJ41)</f>
        <v>0</v>
      </c>
      <c r="BK55" s="4" t="s">
        <v>38</v>
      </c>
      <c r="BY55" s="1"/>
      <c r="CB55" t="s">
        <v>39</v>
      </c>
      <c r="CC55">
        <f>SUM(CC32:CC41)</f>
        <v>0</v>
      </c>
      <c r="CD55" s="4" t="s">
        <v>38</v>
      </c>
      <c r="CR55" s="1"/>
    </row>
    <row r="56" spans="1:96">
      <c r="A56" s="1"/>
      <c r="D56" t="s">
        <v>40</v>
      </c>
      <c r="E56">
        <f>E55/E54</f>
        <v>0</v>
      </c>
      <c r="T56" s="1"/>
      <c r="W56" t="s">
        <v>40</v>
      </c>
      <c r="X56">
        <f>X55/X54</f>
        <v>0</v>
      </c>
      <c r="AM56" s="1"/>
      <c r="AP56" t="s">
        <v>40</v>
      </c>
      <c r="AQ56">
        <f>AQ55/AQ54</f>
        <v>0</v>
      </c>
      <c r="BF56" s="1"/>
      <c r="BI56" t="s">
        <v>40</v>
      </c>
      <c r="BJ56">
        <f>BJ55/BJ54</f>
        <v>0</v>
      </c>
      <c r="BY56" s="1"/>
      <c r="CB56" t="s">
        <v>40</v>
      </c>
      <c r="CC56">
        <f>CC55/CC54</f>
        <v>0</v>
      </c>
      <c r="CR56" s="1"/>
    </row>
    <row r="57" spans="1:96">
      <c r="A57" s="1"/>
      <c r="D57" t="s">
        <v>41</v>
      </c>
      <c r="E57">
        <v>0.66</v>
      </c>
      <c r="F57" t="s">
        <v>42</v>
      </c>
      <c r="T57" s="1"/>
      <c r="W57" t="s">
        <v>41</v>
      </c>
      <c r="X57">
        <v>0.66</v>
      </c>
      <c r="Y57" t="s">
        <v>42</v>
      </c>
      <c r="AM57" s="1"/>
      <c r="AP57" t="s">
        <v>41</v>
      </c>
      <c r="AQ57">
        <v>0.66</v>
      </c>
      <c r="AR57" t="s">
        <v>42</v>
      </c>
      <c r="BF57" s="1"/>
      <c r="BI57" t="s">
        <v>41</v>
      </c>
      <c r="BJ57">
        <v>0.66</v>
      </c>
      <c r="BK57" t="s">
        <v>42</v>
      </c>
      <c r="BY57" s="1"/>
      <c r="CB57" t="s">
        <v>41</v>
      </c>
      <c r="CC57">
        <v>0.66</v>
      </c>
      <c r="CD57" t="s">
        <v>42</v>
      </c>
      <c r="CR57" s="1"/>
    </row>
    <row r="58" spans="1:96">
      <c r="A58" s="1"/>
      <c r="D58" t="s">
        <v>43</v>
      </c>
      <c r="E58" s="7">
        <f>E55*E57</f>
        <v>0</v>
      </c>
      <c r="F58" t="s">
        <v>44</v>
      </c>
      <c r="T58" s="1"/>
      <c r="W58" t="s">
        <v>43</v>
      </c>
      <c r="X58" s="7">
        <f>X55*X57</f>
        <v>0</v>
      </c>
      <c r="Y58" t="s">
        <v>44</v>
      </c>
      <c r="AM58" s="1"/>
      <c r="AP58" t="s">
        <v>43</v>
      </c>
      <c r="AQ58" s="7">
        <f>AQ55*AQ57</f>
        <v>0</v>
      </c>
      <c r="AR58" t="s">
        <v>44</v>
      </c>
      <c r="BF58" s="1"/>
      <c r="BI58" t="s">
        <v>43</v>
      </c>
      <c r="BJ58" s="7">
        <f>BJ55*BJ57</f>
        <v>0</v>
      </c>
      <c r="BK58" t="s">
        <v>44</v>
      </c>
      <c r="BY58" s="1"/>
      <c r="CB58" t="s">
        <v>43</v>
      </c>
      <c r="CC58" s="7">
        <f>CC55*CC57</f>
        <v>0</v>
      </c>
      <c r="CD58" t="s">
        <v>44</v>
      </c>
      <c r="CR58" s="1"/>
    </row>
    <row r="59" spans="1:96">
      <c r="A59" s="1"/>
      <c r="D59" t="s">
        <v>45</v>
      </c>
      <c r="E59" s="5">
        <f>E58/E54</f>
        <v>0</v>
      </c>
      <c r="F59" t="s">
        <v>46</v>
      </c>
      <c r="T59" s="1"/>
      <c r="W59" t="s">
        <v>45</v>
      </c>
      <c r="X59" s="5">
        <f>X58/X54</f>
        <v>0</v>
      </c>
      <c r="Y59" t="s">
        <v>46</v>
      </c>
      <c r="AM59" s="1"/>
      <c r="AP59" t="s">
        <v>45</v>
      </c>
      <c r="AQ59" s="5">
        <f>AQ58/AQ54</f>
        <v>0</v>
      </c>
      <c r="AR59" t="s">
        <v>46</v>
      </c>
      <c r="BF59" s="1"/>
      <c r="BI59" t="s">
        <v>45</v>
      </c>
      <c r="BJ59" s="5">
        <f>BJ58/BJ54</f>
        <v>0</v>
      </c>
      <c r="BK59" t="s">
        <v>46</v>
      </c>
      <c r="BY59" s="1"/>
      <c r="CB59" t="s">
        <v>45</v>
      </c>
      <c r="CC59" s="5">
        <f>CC58/CC54</f>
        <v>0</v>
      </c>
      <c r="CD59" t="s">
        <v>46</v>
      </c>
      <c r="CR59" s="1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A1AC-2373-4088-AF9B-9E72995C564C}">
  <sheetPr>
    <tabColor rgb="FF92D050"/>
  </sheetPr>
  <dimension ref="A1:S14"/>
  <sheetViews>
    <sheetView zoomScale="90" workbookViewId="0">
      <selection activeCell="H3" sqref="H3:S8"/>
    </sheetView>
  </sheetViews>
  <sheetFormatPr defaultRowHeight="14.75"/>
  <cols>
    <col min="2" max="3" width="17.31640625" customWidth="1"/>
    <col min="4" max="4" width="15.7265625" customWidth="1"/>
    <col min="5" max="5" width="17.6328125" customWidth="1"/>
    <col min="6" max="6" width="16.54296875" customWidth="1"/>
    <col min="7" max="7" width="15.5" customWidth="1"/>
    <col min="8" max="8" width="18.453125" customWidth="1"/>
  </cols>
  <sheetData>
    <row r="1" spans="1:19">
      <c r="B1" t="s">
        <v>129</v>
      </c>
    </row>
    <row r="3" spans="1:19" ht="67.5" customHeight="1">
      <c r="A3" t="s">
        <v>8</v>
      </c>
      <c r="B3" s="36" t="s">
        <v>181</v>
      </c>
      <c r="C3" s="36" t="s">
        <v>182</v>
      </c>
      <c r="D3" s="36" t="s">
        <v>183</v>
      </c>
      <c r="E3" s="36" t="s">
        <v>184</v>
      </c>
      <c r="F3" s="36" t="s">
        <v>100</v>
      </c>
      <c r="H3" t="s">
        <v>8</v>
      </c>
      <c r="I3" s="4" t="s">
        <v>9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101</v>
      </c>
    </row>
    <row r="4" spans="1:19" ht="44.25">
      <c r="A4" s="4" t="s">
        <v>9</v>
      </c>
      <c r="B4" s="7">
        <f>'3. Battery and H2, no diesel'!G5</f>
        <v>90.440062999999995</v>
      </c>
      <c r="C4" s="7">
        <f>'3. Battery and H2, no diesel'!Z5</f>
        <v>92.461779000000007</v>
      </c>
      <c r="D4" s="7">
        <f>'3. Battery and H2, no diesel'!AS5</f>
        <v>94.975092000000004</v>
      </c>
      <c r="E4" s="7">
        <f>'3. Battery and H2, no diesel'!BL5</f>
        <v>121.14546199999999</v>
      </c>
      <c r="F4" s="7">
        <f>'0. Current system'!G5</f>
        <v>202.11972900000001</v>
      </c>
      <c r="H4" s="36" t="s">
        <v>181</v>
      </c>
      <c r="I4" s="7">
        <v>90.440062999999995</v>
      </c>
      <c r="J4" s="7">
        <v>83.128519999999995</v>
      </c>
      <c r="K4" s="7">
        <v>111.57970299999999</v>
      </c>
      <c r="L4" s="7">
        <v>96.566857999999996</v>
      </c>
      <c r="M4" s="7">
        <v>88.774929999999998</v>
      </c>
      <c r="N4" s="7">
        <v>80.674544999999995</v>
      </c>
      <c r="O4" s="7">
        <v>114.624548</v>
      </c>
      <c r="P4" s="7">
        <v>82.393386000000007</v>
      </c>
      <c r="Q4" s="7">
        <v>114.82123300000001</v>
      </c>
      <c r="R4" s="7">
        <v>59.855046000000002</v>
      </c>
      <c r="S4" s="7">
        <v>104.8</v>
      </c>
    </row>
    <row r="5" spans="1:19" ht="44.25">
      <c r="A5" s="4" t="s">
        <v>11</v>
      </c>
      <c r="B5" s="7">
        <f>'3. Battery and H2, no diesel'!G6</f>
        <v>83.128519999999995</v>
      </c>
      <c r="C5" s="7">
        <f>'3. Battery and H2, no diesel'!Z6</f>
        <v>80.351775000000004</v>
      </c>
      <c r="D5" s="7">
        <f>'3. Battery and H2, no diesel'!AS6</f>
        <v>82.558330999999995</v>
      </c>
      <c r="E5" s="7">
        <f>'3. Battery and H2, no diesel'!BL6</f>
        <v>107.76249799999999</v>
      </c>
      <c r="F5" s="7">
        <f>'0. Current system'!G6</f>
        <v>184.54548</v>
      </c>
      <c r="H5" s="36" t="s">
        <v>182</v>
      </c>
      <c r="I5" s="7">
        <v>92.461779000000007</v>
      </c>
      <c r="J5" s="7">
        <v>80.351775000000004</v>
      </c>
      <c r="K5" s="7">
        <v>111.57970299999999</v>
      </c>
      <c r="L5" s="7">
        <v>99.348410999999999</v>
      </c>
      <c r="M5" s="7">
        <v>88.713215000000005</v>
      </c>
      <c r="N5" s="7">
        <v>80.964078000000001</v>
      </c>
      <c r="O5" s="7">
        <v>114.532106</v>
      </c>
      <c r="P5" s="7">
        <v>82.886562999999995</v>
      </c>
      <c r="Q5" s="7">
        <v>114.567359</v>
      </c>
      <c r="R5" s="7">
        <v>59.723376000000002</v>
      </c>
      <c r="S5" s="7">
        <v>102.5</v>
      </c>
    </row>
    <row r="6" spans="1:19" ht="44.25">
      <c r="A6" s="4" t="s">
        <v>12</v>
      </c>
      <c r="B6" s="7">
        <f>'3. Battery and H2, no diesel'!G7</f>
        <v>111.57970299999999</v>
      </c>
      <c r="C6" s="7">
        <f>'3. Battery and H2, no diesel'!Z7</f>
        <v>111.57970299999999</v>
      </c>
      <c r="D6" s="7">
        <f>'3. Battery and H2, no diesel'!AS7</f>
        <v>111.57970299999999</v>
      </c>
      <c r="E6" s="7">
        <f>'3. Battery and H2, no diesel'!BL7</f>
        <v>111.57970299999999</v>
      </c>
      <c r="F6" s="7">
        <f>'0. Current system'!G7</f>
        <v>128.867794</v>
      </c>
      <c r="H6" s="36" t="s">
        <v>183</v>
      </c>
      <c r="I6" s="7">
        <v>94.975092000000004</v>
      </c>
      <c r="J6" s="7">
        <v>82.558330999999995</v>
      </c>
      <c r="K6" s="7">
        <v>111.57970299999999</v>
      </c>
      <c r="L6" s="7">
        <v>98.568078999999997</v>
      </c>
      <c r="M6" s="7">
        <v>91.659054999999995</v>
      </c>
      <c r="N6" s="7">
        <v>79.445035000000004</v>
      </c>
      <c r="O6" s="7">
        <v>115.323722</v>
      </c>
      <c r="P6" s="7">
        <v>83.532002000000006</v>
      </c>
      <c r="Q6" s="7">
        <v>115.30063</v>
      </c>
      <c r="R6" s="7">
        <v>60.134906000000001</v>
      </c>
      <c r="S6" s="7">
        <v>103.2</v>
      </c>
    </row>
    <row r="7" spans="1:19" ht="44.25">
      <c r="A7" s="4" t="s">
        <v>13</v>
      </c>
      <c r="B7" s="7">
        <f>'3. Battery and H2, no diesel'!G8</f>
        <v>96.566857999999996</v>
      </c>
      <c r="C7" s="7">
        <f>'3. Battery and H2, no diesel'!Z8</f>
        <v>99.348410999999999</v>
      </c>
      <c r="D7" s="7">
        <f>'3. Battery and H2, no diesel'!AS8</f>
        <v>98.568078999999997</v>
      </c>
      <c r="E7" s="7">
        <f>'3. Battery and H2, no diesel'!BL8</f>
        <v>119.02925</v>
      </c>
      <c r="F7" s="7">
        <f>'0. Current system'!G8</f>
        <v>171.72627299999999</v>
      </c>
      <c r="H7" s="36" t="s">
        <v>305</v>
      </c>
      <c r="I7" s="7">
        <v>121.14546199999999</v>
      </c>
      <c r="J7" s="7">
        <v>107.76249799999999</v>
      </c>
      <c r="K7" s="7">
        <v>111.57970299999999</v>
      </c>
      <c r="L7" s="7">
        <v>119.02925</v>
      </c>
      <c r="M7" s="7">
        <v>108.799244</v>
      </c>
      <c r="N7" s="7">
        <v>113.8163</v>
      </c>
      <c r="O7" s="7">
        <v>119.745091</v>
      </c>
      <c r="P7" s="7">
        <v>105.071048</v>
      </c>
      <c r="Q7" s="7">
        <v>119.84198499999999</v>
      </c>
      <c r="R7" s="7">
        <v>74.856256000000002</v>
      </c>
      <c r="S7" s="7">
        <v>125.7</v>
      </c>
    </row>
    <row r="8" spans="1:19">
      <c r="A8" s="4" t="s">
        <v>14</v>
      </c>
      <c r="B8" s="7">
        <f>'3. Battery and H2, no diesel'!G9</f>
        <v>88.774929999999998</v>
      </c>
      <c r="C8" s="7">
        <f>'3. Battery and H2, no diesel'!Z9</f>
        <v>88.713215000000005</v>
      </c>
      <c r="D8" s="7">
        <f>'3. Battery and H2, no diesel'!AS9</f>
        <v>91.659054999999995</v>
      </c>
      <c r="E8" s="7">
        <f>'3. Battery and H2, no diesel'!BL9</f>
        <v>108.799244</v>
      </c>
      <c r="F8" s="7">
        <f>'0. Current system'!G9</f>
        <v>201.660687</v>
      </c>
      <c r="H8" s="36" t="s">
        <v>100</v>
      </c>
      <c r="I8" s="7">
        <v>202.11972900000001</v>
      </c>
      <c r="J8" s="7">
        <v>184.54548</v>
      </c>
      <c r="K8" s="7">
        <v>128.867794</v>
      </c>
      <c r="L8" s="7">
        <v>171.72627299999999</v>
      </c>
      <c r="M8" s="7">
        <v>201.660687</v>
      </c>
      <c r="N8" s="7">
        <v>201.485254</v>
      </c>
      <c r="O8" s="7">
        <v>191.20420200000001</v>
      </c>
      <c r="P8" s="7">
        <v>185.70412300000001</v>
      </c>
      <c r="Q8" s="7">
        <v>197.88512700000001</v>
      </c>
      <c r="R8" s="7">
        <v>157.20648700000001</v>
      </c>
      <c r="S8" s="7">
        <v>183</v>
      </c>
    </row>
    <row r="9" spans="1:19">
      <c r="A9" s="4" t="s">
        <v>15</v>
      </c>
      <c r="B9" s="7">
        <f>'3. Battery and H2, no diesel'!G10</f>
        <v>80.674544999999995</v>
      </c>
      <c r="C9" s="7">
        <f>'3. Battery and H2, no diesel'!Z10</f>
        <v>80.964078000000001</v>
      </c>
      <c r="D9" s="7">
        <f>'3. Battery and H2, no diesel'!AS10</f>
        <v>79.445035000000004</v>
      </c>
      <c r="E9" s="7">
        <f>'3. Battery and H2, no diesel'!BL10</f>
        <v>113.8163</v>
      </c>
      <c r="F9" s="7">
        <f>'0. Current system'!G10</f>
        <v>201.485254</v>
      </c>
    </row>
    <row r="10" spans="1:19">
      <c r="A10" s="4" t="s">
        <v>16</v>
      </c>
      <c r="B10" s="7">
        <f>'3. Battery and H2, no diesel'!G11</f>
        <v>114.624548</v>
      </c>
      <c r="C10" s="7">
        <f>'3. Battery and H2, no diesel'!Z11</f>
        <v>114.532106</v>
      </c>
      <c r="D10" s="7">
        <f>'3. Battery and H2, no diesel'!AS11</f>
        <v>115.323722</v>
      </c>
      <c r="E10" s="7">
        <f>'3. Battery and H2, no diesel'!BL11</f>
        <v>119.745091</v>
      </c>
      <c r="F10" s="7">
        <f>'0. Current system'!G11</f>
        <v>191.20420200000001</v>
      </c>
    </row>
    <row r="11" spans="1:19">
      <c r="A11" s="4" t="s">
        <v>17</v>
      </c>
      <c r="B11" s="7">
        <f>'3. Battery and H2, no diesel'!G12</f>
        <v>82.393386000000007</v>
      </c>
      <c r="C11" s="7">
        <f>'3. Battery and H2, no diesel'!Z12</f>
        <v>82.886562999999995</v>
      </c>
      <c r="D11" s="7">
        <f>'3. Battery and H2, no diesel'!AS12</f>
        <v>83.532002000000006</v>
      </c>
      <c r="E11" s="7">
        <f>'3. Battery and H2, no diesel'!BL12</f>
        <v>105.071048</v>
      </c>
      <c r="F11" s="7">
        <f>'0. Current system'!G12</f>
        <v>185.70412300000001</v>
      </c>
    </row>
    <row r="12" spans="1:19">
      <c r="A12" s="4" t="s">
        <v>18</v>
      </c>
      <c r="B12" s="7">
        <f>'3. Battery and H2, no diesel'!G13</f>
        <v>114.82123300000001</v>
      </c>
      <c r="C12" s="7">
        <f>'3. Battery and H2, no diesel'!Z13</f>
        <v>114.567359</v>
      </c>
      <c r="D12" s="7">
        <f>'3. Battery and H2, no diesel'!AS13</f>
        <v>115.30063</v>
      </c>
      <c r="E12" s="7">
        <f>'3. Battery and H2, no diesel'!BL13</f>
        <v>119.84198499999999</v>
      </c>
      <c r="F12" s="7">
        <f>'0. Current system'!G13</f>
        <v>197.88512700000001</v>
      </c>
    </row>
    <row r="13" spans="1:19">
      <c r="A13" s="4" t="s">
        <v>19</v>
      </c>
      <c r="B13" s="7">
        <f>'3. Battery and H2, no diesel'!G14</f>
        <v>59.855046000000002</v>
      </c>
      <c r="C13" s="7">
        <f>'3. Battery and H2, no diesel'!Z14</f>
        <v>59.723376000000002</v>
      </c>
      <c r="D13" s="7">
        <f>'3. Battery and H2, no diesel'!AS14</f>
        <v>60.134906000000001</v>
      </c>
      <c r="E13" s="7">
        <f>'3. Battery and H2, no diesel'!BL14</f>
        <v>74.856256000000002</v>
      </c>
      <c r="F13" s="7">
        <f>'0. Current system'!G14</f>
        <v>157.20648700000001</v>
      </c>
    </row>
    <row r="14" spans="1:19">
      <c r="A14" s="4" t="s">
        <v>101</v>
      </c>
      <c r="B14" s="7">
        <f>'3. Battery and H2, no diesel'!G3</f>
        <v>104.8</v>
      </c>
      <c r="C14" s="7">
        <f>'3. Battery and H2, no diesel'!Z3</f>
        <v>102.5</v>
      </c>
      <c r="D14" s="7">
        <f>'3. Battery and H2, no diesel'!AS3</f>
        <v>103.2</v>
      </c>
      <c r="E14" s="7">
        <f>'3. Battery and H2, no diesel'!BL3</f>
        <v>125.7</v>
      </c>
      <c r="F14" s="7">
        <f>'0. Current system'!G3</f>
        <v>183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EEB6-4D8E-4E28-B2E5-0BD959135C5F}">
  <sheetPr>
    <tabColor rgb="FFFFC000"/>
  </sheetPr>
  <dimension ref="A1:EG91"/>
  <sheetViews>
    <sheetView tabSelected="1" topLeftCell="BN4" zoomScale="90" zoomScaleNormal="90" workbookViewId="0">
      <selection activeCell="BX19" sqref="BX19:BY27"/>
    </sheetView>
  </sheetViews>
  <sheetFormatPr defaultRowHeight="14.75"/>
  <cols>
    <col min="2" max="2" width="10.953125" customWidth="1"/>
    <col min="6" max="6" width="11.90625" customWidth="1"/>
    <col min="9" max="9" width="10.58984375" customWidth="1"/>
    <col min="10" max="10" width="9.953125" customWidth="1"/>
    <col min="11" max="11" width="10.26953125" customWidth="1"/>
    <col min="12" max="12" width="12.26953125" customWidth="1"/>
    <col min="13" max="13" width="9.453125" customWidth="1"/>
    <col min="16" max="16" width="11.76953125" customWidth="1"/>
    <col min="19" max="19" width="11.04296875" customWidth="1"/>
    <col min="23" max="23" width="11.2265625" customWidth="1"/>
    <col min="26" max="26" width="10.58984375" customWidth="1"/>
    <col min="27" max="27" width="9.953125" customWidth="1"/>
    <col min="28" max="28" width="10.26953125" customWidth="1"/>
    <col min="29" max="29" width="12.26953125" customWidth="1"/>
    <col min="30" max="30" width="9.453125" customWidth="1"/>
    <col min="36" max="36" width="10.86328125" customWidth="1"/>
    <col min="40" max="40" width="12.6328125" customWidth="1"/>
    <col min="43" max="43" width="10.58984375" customWidth="1"/>
    <col min="44" max="44" width="9.953125" customWidth="1"/>
    <col min="45" max="45" width="10.26953125" customWidth="1"/>
    <col min="46" max="46" width="12.26953125" customWidth="1"/>
    <col min="47" max="47" width="9.453125" customWidth="1"/>
    <col min="53" max="53" width="11.31640625" customWidth="1"/>
    <col min="57" max="57" width="12" customWidth="1"/>
    <col min="60" max="60" width="10.58984375" customWidth="1"/>
    <col min="61" max="61" width="12.2265625" customWidth="1"/>
    <col min="62" max="62" width="10.26953125" customWidth="1"/>
    <col min="63" max="63" width="12.26953125" customWidth="1"/>
    <col min="64" max="64" width="9.453125" customWidth="1"/>
    <col min="70" max="70" width="10.953125" customWidth="1"/>
    <col min="73" max="73" width="9.58984375" customWidth="1"/>
    <col min="74" max="74" width="11.90625" customWidth="1"/>
    <col min="75" max="76" width="9.2265625" bestFit="1" customWidth="1"/>
    <col min="77" max="77" width="10.58984375" customWidth="1"/>
    <col min="78" max="78" width="9.953125" customWidth="1"/>
    <col min="79" max="79" width="10.26953125" customWidth="1"/>
    <col min="80" max="80" width="12.26953125" customWidth="1"/>
    <col min="81" max="81" width="9.453125" customWidth="1"/>
    <col min="84" max="84" width="11.76953125" customWidth="1"/>
    <col min="88" max="88" width="10.953125" customWidth="1"/>
    <col min="89" max="89" width="10.08984375" customWidth="1"/>
    <col min="90" max="90" width="9.6328125" customWidth="1"/>
    <col min="91" max="91" width="9.58984375" customWidth="1"/>
    <col min="92" max="92" width="12.54296875" customWidth="1"/>
    <col min="93" max="94" width="9.2265625" bestFit="1" customWidth="1"/>
    <col min="95" max="95" width="10.58984375" customWidth="1"/>
    <col min="96" max="96" width="9.953125" customWidth="1"/>
    <col min="97" max="97" width="10.26953125" customWidth="1"/>
    <col min="98" max="98" width="12.26953125" customWidth="1"/>
    <col min="99" max="99" width="9.453125" customWidth="1"/>
    <col min="102" max="102" width="11.76953125" customWidth="1"/>
    <col min="105" max="105" width="10.953125" customWidth="1"/>
    <col min="109" max="109" width="11.90625" customWidth="1"/>
    <col min="110" max="111" width="9.2265625" bestFit="1" customWidth="1"/>
    <col min="112" max="112" width="10.58984375" customWidth="1"/>
    <col min="113" max="113" width="9.953125" customWidth="1"/>
    <col min="114" max="114" width="10.26953125" customWidth="1"/>
    <col min="115" max="115" width="12.26953125" customWidth="1"/>
    <col min="116" max="116" width="9.453125" customWidth="1"/>
    <col min="119" max="119" width="11.76953125" customWidth="1"/>
    <col min="122" max="122" width="10.953125" customWidth="1"/>
    <col min="126" max="126" width="11.90625" customWidth="1"/>
    <col min="127" max="128" width="9.2265625" bestFit="1" customWidth="1"/>
    <col min="129" max="129" width="10.58984375" customWidth="1"/>
    <col min="130" max="130" width="9.953125" customWidth="1"/>
    <col min="131" max="131" width="10.26953125" customWidth="1"/>
    <col min="132" max="132" width="12.26953125" customWidth="1"/>
    <col min="133" max="133" width="9.453125" customWidth="1"/>
    <col min="136" max="136" width="11.76953125" customWidth="1"/>
  </cols>
  <sheetData>
    <row r="1" spans="1:137">
      <c r="A1" s="1"/>
      <c r="B1" s="1" t="s">
        <v>108</v>
      </c>
      <c r="C1" s="1"/>
      <c r="D1" s="1"/>
      <c r="E1" s="1"/>
      <c r="F1" s="1"/>
      <c r="G1" s="1" t="s">
        <v>229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231</v>
      </c>
      <c r="T1" s="1"/>
      <c r="U1" s="1"/>
      <c r="V1" s="1"/>
      <c r="W1" s="1"/>
      <c r="X1" s="1" t="s">
        <v>232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234</v>
      </c>
      <c r="AK1" s="1"/>
      <c r="AL1" s="1"/>
      <c r="AM1" s="1"/>
      <c r="AN1" s="1"/>
      <c r="AO1" s="1"/>
      <c r="AP1" s="1"/>
      <c r="AQ1" s="1"/>
      <c r="AR1" s="1"/>
      <c r="AS1" s="1" t="s">
        <v>233</v>
      </c>
      <c r="AT1" s="1"/>
      <c r="AU1" s="1"/>
      <c r="AV1" s="1"/>
      <c r="AW1" s="1"/>
      <c r="AX1" s="1"/>
      <c r="AY1" s="1"/>
      <c r="AZ1" s="1"/>
      <c r="BA1" s="1" t="s">
        <v>236</v>
      </c>
      <c r="BB1" s="1"/>
      <c r="BC1" s="1"/>
      <c r="BD1" s="1"/>
      <c r="BE1" s="1"/>
      <c r="BF1" s="1"/>
      <c r="BG1" s="1"/>
      <c r="BH1" s="1"/>
      <c r="BI1" s="1"/>
      <c r="BJ1" s="1" t="s">
        <v>237</v>
      </c>
      <c r="BK1" s="1"/>
      <c r="BL1" s="1"/>
      <c r="BM1" s="1"/>
      <c r="BN1" s="1"/>
      <c r="BO1" s="1"/>
      <c r="BP1" s="1"/>
      <c r="BQ1" s="1"/>
      <c r="BR1" s="1" t="s">
        <v>108</v>
      </c>
      <c r="BS1" s="1"/>
      <c r="BT1" s="1"/>
      <c r="BU1" s="1"/>
      <c r="BV1" s="1"/>
      <c r="BW1" s="1" t="s">
        <v>254</v>
      </c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 t="s">
        <v>108</v>
      </c>
      <c r="CK1" s="1"/>
      <c r="CL1" s="1"/>
      <c r="CM1" s="1"/>
      <c r="CN1" s="1"/>
      <c r="CO1" s="1" t="s">
        <v>284</v>
      </c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108</v>
      </c>
      <c r="DB1" s="1"/>
      <c r="DC1" s="1"/>
      <c r="DD1" s="1"/>
      <c r="DE1" s="1"/>
      <c r="DF1" s="1" t="s">
        <v>287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 t="s">
        <v>108</v>
      </c>
      <c r="DS1" s="1"/>
      <c r="DT1" s="1"/>
      <c r="DU1" s="1"/>
      <c r="DV1" s="1"/>
      <c r="DW1" s="1" t="s">
        <v>289</v>
      </c>
      <c r="DX1" s="1"/>
      <c r="DY1" s="1"/>
      <c r="DZ1" s="1"/>
      <c r="EA1" s="1"/>
      <c r="EB1" s="1"/>
      <c r="EC1" s="1"/>
      <c r="ED1" s="1"/>
      <c r="EE1" s="1"/>
      <c r="EF1" s="1"/>
      <c r="EG1" s="1"/>
    </row>
    <row r="2" spans="1:137">
      <c r="A2" s="1"/>
      <c r="B2" t="s">
        <v>224</v>
      </c>
      <c r="D2" s="18" t="s">
        <v>230</v>
      </c>
      <c r="E2" s="18"/>
      <c r="G2" t="s">
        <v>36</v>
      </c>
      <c r="R2" s="1"/>
      <c r="S2" t="s">
        <v>224</v>
      </c>
      <c r="U2" s="18" t="s">
        <v>230</v>
      </c>
      <c r="V2" s="18"/>
      <c r="X2" t="s">
        <v>36</v>
      </c>
      <c r="AI2" s="1"/>
      <c r="AJ2" t="s">
        <v>235</v>
      </c>
      <c r="AL2" s="18" t="s">
        <v>230</v>
      </c>
      <c r="AM2" s="18"/>
      <c r="AO2" t="s">
        <v>36</v>
      </c>
      <c r="AZ2" s="1"/>
      <c r="BA2" t="s">
        <v>235</v>
      </c>
      <c r="BC2" s="18" t="s">
        <v>230</v>
      </c>
      <c r="BD2" s="18"/>
      <c r="BF2" t="s">
        <v>36</v>
      </c>
      <c r="BQ2" s="1"/>
      <c r="BR2" t="s">
        <v>253</v>
      </c>
      <c r="BS2">
        <v>4.0999999999999996</v>
      </c>
      <c r="BT2" s="18" t="s">
        <v>230</v>
      </c>
      <c r="BU2" s="18"/>
      <c r="BW2" t="s">
        <v>36</v>
      </c>
      <c r="BZ2" s="22" t="s">
        <v>255</v>
      </c>
      <c r="CA2" s="22"/>
      <c r="CB2" s="22"/>
      <c r="CC2" t="s">
        <v>286</v>
      </c>
      <c r="CI2" s="1"/>
      <c r="CJ2" t="s">
        <v>256</v>
      </c>
      <c r="CK2">
        <v>4.2</v>
      </c>
      <c r="CL2" s="18" t="s">
        <v>230</v>
      </c>
      <c r="CM2" s="18"/>
      <c r="CO2" t="s">
        <v>36</v>
      </c>
      <c r="CR2" s="22" t="s">
        <v>255</v>
      </c>
      <c r="CS2" s="22"/>
      <c r="CT2" s="22"/>
      <c r="CU2" t="s">
        <v>291</v>
      </c>
      <c r="CZ2" s="1"/>
      <c r="DA2" t="s">
        <v>288</v>
      </c>
      <c r="DB2">
        <v>4.3</v>
      </c>
      <c r="DC2" s="18" t="s">
        <v>230</v>
      </c>
      <c r="DD2" s="18"/>
      <c r="DF2" t="s">
        <v>36</v>
      </c>
      <c r="DI2" s="22" t="s">
        <v>255</v>
      </c>
      <c r="DJ2" s="22"/>
      <c r="DK2" s="22"/>
      <c r="DL2" t="s">
        <v>291</v>
      </c>
      <c r="DQ2" s="1"/>
      <c r="DR2" t="s">
        <v>288</v>
      </c>
      <c r="DS2">
        <v>4.4000000000000004</v>
      </c>
      <c r="DT2" s="18" t="s">
        <v>230</v>
      </c>
      <c r="DU2" s="18"/>
      <c r="DW2" t="s">
        <v>36</v>
      </c>
      <c r="DZ2" s="22" t="s">
        <v>255</v>
      </c>
      <c r="EA2" s="22"/>
      <c r="EB2" s="22"/>
      <c r="EC2" t="s">
        <v>290</v>
      </c>
    </row>
    <row r="3" spans="1:137">
      <c r="A3" s="1"/>
      <c r="B3">
        <v>6</v>
      </c>
      <c r="C3" t="s">
        <v>33</v>
      </c>
      <c r="D3" s="58" t="s">
        <v>321</v>
      </c>
      <c r="F3" t="s">
        <v>35</v>
      </c>
      <c r="G3">
        <v>96</v>
      </c>
      <c r="H3" s="20">
        <f>(G3-'0. Current system'!$G3)/'0. Current system'!$G3</f>
        <v>-0.47540983606557374</v>
      </c>
      <c r="I3" s="25">
        <f>(G3-'2. Diesel-battery-storage'!$BE3)/'2. Diesel-battery-storage'!$BE3</f>
        <v>6.5482796892341905E-2</v>
      </c>
      <c r="J3" s="26">
        <f>(G3-'2''. Storage - some with diesel'!$G3)/'2''. Storage - some with diesel'!$G3</f>
        <v>2.3454157782516024E-2</v>
      </c>
      <c r="K3" s="23">
        <f>(G3-'3. Battery and H2, no diesel'!$Z3)/'3. Battery and H2, no diesel'!$Z3</f>
        <v>-6.3414634146341464E-2</v>
      </c>
      <c r="R3" s="1"/>
      <c r="S3">
        <v>6</v>
      </c>
      <c r="T3" t="s">
        <v>33</v>
      </c>
      <c r="U3" s="58" t="s">
        <v>322</v>
      </c>
      <c r="W3" t="s">
        <v>35</v>
      </c>
      <c r="X3">
        <v>97.7</v>
      </c>
      <c r="Y3" s="20">
        <f>(X3-'0. Current system'!$G3)/'0. Current system'!$G3</f>
        <v>-0.46612021857923497</v>
      </c>
      <c r="Z3" s="25">
        <f>(X3-'2. Diesel-battery-storage'!$BE3)/'2. Diesel-battery-storage'!$BE3</f>
        <v>8.4350721420643829E-2</v>
      </c>
      <c r="AA3" s="26">
        <f>(X3-'2''. Storage - some with diesel'!$G3)/'2''. Storage - some with diesel'!$G3</f>
        <v>4.1577825159914775E-2</v>
      </c>
      <c r="AB3" s="23">
        <f>(X3-'3. Battery and H2, no diesel'!$Z3)/'3. Battery and H2, no diesel'!$Z3</f>
        <v>-4.6829268292682899E-2</v>
      </c>
      <c r="AI3" s="1"/>
      <c r="AJ3">
        <v>6</v>
      </c>
      <c r="AK3" t="s">
        <v>33</v>
      </c>
      <c r="AL3" s="58" t="s">
        <v>323</v>
      </c>
      <c r="AN3" t="s">
        <v>35</v>
      </c>
      <c r="AO3">
        <v>100.7</v>
      </c>
      <c r="AP3" s="20">
        <f>(AO3-'0. Current system'!$G3)/'0. Current system'!$G3</f>
        <v>-0.44972677595628413</v>
      </c>
      <c r="AQ3" s="25">
        <f>(AO3-'2. Diesel-battery-storage'!$BE3)/'2. Diesel-battery-storage'!$BE3</f>
        <v>0.11764705882352951</v>
      </c>
      <c r="AR3" s="26">
        <f>(AO3-'2''. Storage - some with diesel'!$G3)/'2''. Storage - some with diesel'!$G3</f>
        <v>7.3560767590618401E-2</v>
      </c>
      <c r="AS3" s="23">
        <f>(AO3-'3. Battery and H2, no diesel'!$Z3)/'3. Battery and H2, no diesel'!$Z3</f>
        <v>-1.7560975609756072E-2</v>
      </c>
      <c r="AZ3" s="1"/>
      <c r="BA3">
        <v>6</v>
      </c>
      <c r="BB3" t="s">
        <v>33</v>
      </c>
      <c r="BC3" s="58" t="s">
        <v>324</v>
      </c>
      <c r="BE3" t="s">
        <v>35</v>
      </c>
      <c r="BF3">
        <v>102.4</v>
      </c>
      <c r="BG3" s="20">
        <f>(BF3-'0. Current system'!$G3)/'0. Current system'!$G3</f>
        <v>-0.4404371584699453</v>
      </c>
      <c r="BH3" s="25">
        <f>(BF3-'2. Diesel-battery-storage'!$BE3)/'2. Diesel-battery-storage'!$BE3</f>
        <v>0.13651498335183143</v>
      </c>
      <c r="BI3" s="26">
        <f>(BF3-'2''. Storage - some with diesel'!$G3)/'2''. Storage - some with diesel'!$G3</f>
        <v>9.1684434968017148E-2</v>
      </c>
      <c r="BJ3" s="23">
        <f>(BF3-'3. Battery and H2, no diesel'!$Z3)/'3. Battery and H2, no diesel'!$Z3</f>
        <v>-9.7560975609750557E-4</v>
      </c>
      <c r="BQ3" s="1"/>
      <c r="BR3">
        <v>6</v>
      </c>
      <c r="BS3" t="s">
        <v>33</v>
      </c>
      <c r="BT3" s="58"/>
      <c r="BV3" t="s">
        <v>35</v>
      </c>
      <c r="BW3">
        <v>110</v>
      </c>
      <c r="BY3" s="20">
        <f>(BW3-'0. Current system'!$G3)/'0. Current system'!$G3</f>
        <v>-0.39890710382513661</v>
      </c>
      <c r="BZ3" s="25">
        <f>(BW3-'2. Diesel-battery-storage'!$BE3)/'2. Diesel-battery-storage'!$BE3</f>
        <v>0.22086570477247511</v>
      </c>
      <c r="CA3" s="26">
        <f>(BW3-'2''. Storage - some with diesel'!$G3)/'2''. Storage - some with diesel'!$G3</f>
        <v>0.1727078891257996</v>
      </c>
      <c r="CB3" s="23">
        <f>(BW3-'3. Battery and H2, no diesel'!$Z3)/'3. Battery and H2, no diesel'!$Z3</f>
        <v>7.3170731707317069E-2</v>
      </c>
      <c r="CC3" t="s">
        <v>290</v>
      </c>
      <c r="CI3" s="1"/>
      <c r="CJ3">
        <v>6</v>
      </c>
      <c r="CK3" t="s">
        <v>33</v>
      </c>
      <c r="CL3" s="58"/>
      <c r="CN3" t="s">
        <v>35</v>
      </c>
      <c r="CO3">
        <v>97.9</v>
      </c>
      <c r="CQ3" s="20">
        <f>(CO3-'0. Current system'!$G3)/'0. Current system'!$G3</f>
        <v>-0.46502732240437156</v>
      </c>
      <c r="CR3" s="25">
        <f>(CO3-'2. Diesel-battery-storage'!$BE3)/'2. Diesel-battery-storage'!$BE3</f>
        <v>8.65704772475029E-2</v>
      </c>
      <c r="CS3" s="26">
        <f>(CO3-'2''. Storage - some with diesel'!$G3)/'2''. Storage - some with diesel'!$G3</f>
        <v>4.3710021321961716E-2</v>
      </c>
      <c r="CT3" s="23">
        <f>(CO3-'3. Battery and H2, no diesel'!$Z3)/'3. Battery and H2, no diesel'!$Z3</f>
        <v>-4.4878048780487748E-2</v>
      </c>
      <c r="CZ3" s="1"/>
      <c r="DA3">
        <v>6</v>
      </c>
      <c r="DB3" t="s">
        <v>33</v>
      </c>
      <c r="DC3" s="58"/>
      <c r="DE3" t="s">
        <v>35</v>
      </c>
      <c r="DF3">
        <v>100</v>
      </c>
      <c r="DH3" s="20">
        <f>(DF3-'0. Current system'!$G3)/'0. Current system'!$G3</f>
        <v>-0.45355191256830601</v>
      </c>
      <c r="DI3" s="25">
        <f>(DF3-'2. Diesel-battery-storage'!$BE3)/'2. Diesel-battery-storage'!$BE3</f>
        <v>0.10987791342952283</v>
      </c>
      <c r="DJ3" s="26">
        <f>(DF3-'2''. Storage - some with diesel'!$G3)/'2''. Storage - some with diesel'!$G3</f>
        <v>6.6098081023454186E-2</v>
      </c>
      <c r="DK3" s="23">
        <f>(DF3-'3. Battery and H2, no diesel'!$Z3)/'3. Battery and H2, no diesel'!$Z3</f>
        <v>-2.4390243902439025E-2</v>
      </c>
      <c r="DQ3" s="1"/>
      <c r="DR3">
        <v>6</v>
      </c>
      <c r="DS3" t="s">
        <v>33</v>
      </c>
      <c r="DT3" s="58"/>
      <c r="DV3" t="s">
        <v>35</v>
      </c>
      <c r="DW3">
        <v>112.1</v>
      </c>
      <c r="DY3" s="20">
        <f>(DW3-'0. Current system'!$G3)/'0. Current system'!$G3</f>
        <v>-0.38743169398907107</v>
      </c>
      <c r="DZ3" s="25">
        <f>(DW3-'2. Diesel-battery-storage'!$BE3)/'2. Diesel-battery-storage'!$BE3</f>
        <v>0.24417314095449502</v>
      </c>
      <c r="EA3" s="26">
        <f>(DW3-'2''. Storage - some with diesel'!$G3)/'2''. Storage - some with diesel'!$G3</f>
        <v>0.19509594882729209</v>
      </c>
      <c r="EB3" s="23">
        <f>(DW3-'3. Battery and H2, no diesel'!$Z3)/'3. Battery and H2, no diesel'!$Z3</f>
        <v>9.3658536585365798E-2</v>
      </c>
    </row>
    <row r="4" spans="1:137" ht="55.5" customHeight="1">
      <c r="A4" s="1"/>
      <c r="B4" s="4" t="s">
        <v>21</v>
      </c>
      <c r="C4" t="s">
        <v>32</v>
      </c>
      <c r="D4" t="s">
        <v>34</v>
      </c>
      <c r="F4" s="4" t="s">
        <v>8</v>
      </c>
      <c r="G4" t="s">
        <v>98</v>
      </c>
      <c r="H4" t="s">
        <v>103</v>
      </c>
      <c r="I4" s="37" t="s">
        <v>109</v>
      </c>
      <c r="J4" s="37" t="s">
        <v>180</v>
      </c>
      <c r="K4" s="51" t="s">
        <v>179</v>
      </c>
      <c r="L4" s="2" t="s">
        <v>120</v>
      </c>
      <c r="M4" s="2" t="s">
        <v>121</v>
      </c>
      <c r="N4" t="s">
        <v>114</v>
      </c>
      <c r="P4" t="s">
        <v>32</v>
      </c>
      <c r="Q4" t="s">
        <v>119</v>
      </c>
      <c r="R4" s="1"/>
      <c r="S4" s="4" t="s">
        <v>21</v>
      </c>
      <c r="T4" t="s">
        <v>32</v>
      </c>
      <c r="U4" t="s">
        <v>34</v>
      </c>
      <c r="W4" s="4" t="s">
        <v>8</v>
      </c>
      <c r="X4" t="s">
        <v>98</v>
      </c>
      <c r="Y4" t="s">
        <v>103</v>
      </c>
      <c r="Z4" s="37" t="s">
        <v>109</v>
      </c>
      <c r="AA4" s="37" t="s">
        <v>180</v>
      </c>
      <c r="AB4" s="51" t="s">
        <v>179</v>
      </c>
      <c r="AC4" s="2" t="s">
        <v>120</v>
      </c>
      <c r="AD4" s="2" t="s">
        <v>121</v>
      </c>
      <c r="AE4" t="s">
        <v>114</v>
      </c>
      <c r="AG4" t="s">
        <v>32</v>
      </c>
      <c r="AH4" t="s">
        <v>119</v>
      </c>
      <c r="AI4" s="1"/>
      <c r="AJ4" s="4" t="s">
        <v>21</v>
      </c>
      <c r="AK4" t="s">
        <v>32</v>
      </c>
      <c r="AL4" t="s">
        <v>34</v>
      </c>
      <c r="AN4" s="4" t="s">
        <v>8</v>
      </c>
      <c r="AO4" t="s">
        <v>98</v>
      </c>
      <c r="AP4" t="s">
        <v>103</v>
      </c>
      <c r="AQ4" s="37" t="s">
        <v>109</v>
      </c>
      <c r="AR4" s="37" t="s">
        <v>180</v>
      </c>
      <c r="AS4" s="51" t="s">
        <v>179</v>
      </c>
      <c r="AT4" s="2" t="s">
        <v>120</v>
      </c>
      <c r="AU4" s="2" t="s">
        <v>121</v>
      </c>
      <c r="AV4" t="s">
        <v>114</v>
      </c>
      <c r="AX4" t="s">
        <v>32</v>
      </c>
      <c r="AY4" t="s">
        <v>119</v>
      </c>
      <c r="AZ4" s="1"/>
      <c r="BA4" s="4" t="s">
        <v>21</v>
      </c>
      <c r="BB4" t="s">
        <v>32</v>
      </c>
      <c r="BC4" t="s">
        <v>34</v>
      </c>
      <c r="BE4" s="4" t="s">
        <v>8</v>
      </c>
      <c r="BF4" t="s">
        <v>98</v>
      </c>
      <c r="BG4" t="s">
        <v>103</v>
      </c>
      <c r="BH4" s="37" t="s">
        <v>109</v>
      </c>
      <c r="BI4" s="37" t="s">
        <v>180</v>
      </c>
      <c r="BJ4" s="51" t="s">
        <v>179</v>
      </c>
      <c r="BK4" s="2" t="s">
        <v>120</v>
      </c>
      <c r="BL4" s="2" t="s">
        <v>121</v>
      </c>
      <c r="BM4" t="s">
        <v>114</v>
      </c>
      <c r="BO4" t="s">
        <v>32</v>
      </c>
      <c r="BP4" t="s">
        <v>119</v>
      </c>
      <c r="BQ4" s="1"/>
      <c r="BR4" s="4" t="s">
        <v>21</v>
      </c>
      <c r="BS4" t="s">
        <v>32</v>
      </c>
      <c r="BT4" t="s">
        <v>34</v>
      </c>
      <c r="BV4" s="4" t="s">
        <v>8</v>
      </c>
      <c r="BW4" t="s">
        <v>98</v>
      </c>
      <c r="BX4" s="10" t="s">
        <v>283</v>
      </c>
      <c r="BY4" t="s">
        <v>103</v>
      </c>
      <c r="BZ4" s="37" t="s">
        <v>109</v>
      </c>
      <c r="CA4" s="37" t="s">
        <v>180</v>
      </c>
      <c r="CB4" s="51" t="s">
        <v>179</v>
      </c>
      <c r="CC4" s="2"/>
      <c r="CD4" t="s">
        <v>114</v>
      </c>
      <c r="CF4" t="s">
        <v>32</v>
      </c>
      <c r="CG4" t="s">
        <v>119</v>
      </c>
      <c r="CI4" s="1"/>
      <c r="CJ4" s="4" t="s">
        <v>21</v>
      </c>
      <c r="CK4" t="s">
        <v>32</v>
      </c>
      <c r="CL4" t="s">
        <v>34</v>
      </c>
      <c r="CN4" s="4" t="s">
        <v>8</v>
      </c>
      <c r="CO4" t="s">
        <v>98</v>
      </c>
      <c r="CP4" s="10" t="s">
        <v>283</v>
      </c>
      <c r="CQ4" t="s">
        <v>103</v>
      </c>
      <c r="CR4" s="37" t="s">
        <v>109</v>
      </c>
      <c r="CS4" s="37" t="s">
        <v>180</v>
      </c>
      <c r="CT4" s="51" t="s">
        <v>179</v>
      </c>
      <c r="CU4" s="2"/>
      <c r="CV4" t="s">
        <v>114</v>
      </c>
      <c r="CX4" t="s">
        <v>32</v>
      </c>
      <c r="CY4" t="s">
        <v>119</v>
      </c>
      <c r="CZ4" s="1"/>
      <c r="DA4" s="4" t="s">
        <v>21</v>
      </c>
      <c r="DB4" t="s">
        <v>32</v>
      </c>
      <c r="DC4" t="s">
        <v>34</v>
      </c>
      <c r="DE4" s="4" t="s">
        <v>8</v>
      </c>
      <c r="DF4" t="s">
        <v>98</v>
      </c>
      <c r="DG4" s="10" t="s">
        <v>283</v>
      </c>
      <c r="DH4" t="s">
        <v>103</v>
      </c>
      <c r="DI4" s="37" t="s">
        <v>109</v>
      </c>
      <c r="DJ4" s="37" t="s">
        <v>180</v>
      </c>
      <c r="DK4" s="51" t="s">
        <v>179</v>
      </c>
      <c r="DL4" s="2"/>
      <c r="DM4" t="s">
        <v>114</v>
      </c>
      <c r="DO4" t="s">
        <v>32</v>
      </c>
      <c r="DP4" t="s">
        <v>119</v>
      </c>
      <c r="DQ4" s="1"/>
      <c r="DR4" s="4" t="s">
        <v>21</v>
      </c>
      <c r="DS4" t="s">
        <v>32</v>
      </c>
      <c r="DT4" t="s">
        <v>34</v>
      </c>
      <c r="DV4" s="4" t="s">
        <v>8</v>
      </c>
      <c r="DW4" t="s">
        <v>98</v>
      </c>
      <c r="DX4" s="10" t="s">
        <v>283</v>
      </c>
      <c r="DY4" t="s">
        <v>103</v>
      </c>
      <c r="DZ4" s="37" t="s">
        <v>109</v>
      </c>
      <c r="EA4" s="37" t="s">
        <v>180</v>
      </c>
      <c r="EB4" s="51" t="s">
        <v>179</v>
      </c>
      <c r="EC4" s="2"/>
      <c r="ED4" t="s">
        <v>114</v>
      </c>
      <c r="EF4" t="s">
        <v>32</v>
      </c>
      <c r="EG4" t="s">
        <v>119</v>
      </c>
    </row>
    <row r="5" spans="1:137">
      <c r="A5" s="1"/>
      <c r="B5" s="4" t="s">
        <v>23</v>
      </c>
      <c r="C5" s="9">
        <v>70</v>
      </c>
      <c r="D5" s="9">
        <f>C5*B$3</f>
        <v>420</v>
      </c>
      <c r="F5" s="4" t="s">
        <v>9</v>
      </c>
      <c r="G5" s="7">
        <v>82.540785</v>
      </c>
      <c r="H5" s="20">
        <f>(G5-'0. Current system'!$G5)/'0. Current system'!$G5</f>
        <v>-0.59162430402823274</v>
      </c>
      <c r="I5" s="25">
        <f>(G5-'2. Diesel-battery-storage'!$BE5)/'2. Diesel-battery-storage'!$BE5</f>
        <v>-0.16607841942508392</v>
      </c>
      <c r="J5" s="26">
        <f>(G5-'2''. Storage - some with diesel'!$G5)/'2''. Storage - some with diesel'!$G5</f>
        <v>0.11861053846599307</v>
      </c>
      <c r="K5" s="23">
        <f>(G5-'3. Battery and H2, no diesel'!$Z5)/'3. Battery and H2, no diesel'!$Z5</f>
        <v>-0.10729832485702018</v>
      </c>
      <c r="L5" s="30">
        <f>G5+0.5*(Q7+Q8)/L32/1000</f>
        <v>83.275858629122126</v>
      </c>
      <c r="M5" s="30">
        <f>G5+(Q7+Q8)/L32/1000</f>
        <v>84.010932258244239</v>
      </c>
      <c r="O5" s="4" t="s">
        <v>83</v>
      </c>
      <c r="P5" s="7"/>
      <c r="Q5" s="7"/>
      <c r="R5" s="1"/>
      <c r="S5" s="4" t="s">
        <v>23</v>
      </c>
      <c r="T5" s="9">
        <v>70</v>
      </c>
      <c r="U5" s="9">
        <f>T5*S$3</f>
        <v>420</v>
      </c>
      <c r="W5" s="4" t="s">
        <v>9</v>
      </c>
      <c r="X5" s="7">
        <v>84.045862999999997</v>
      </c>
      <c r="Y5" s="20">
        <f>(X5-'0. Current system'!$G5)/'0. Current system'!$G5</f>
        <v>-0.58417783649413069</v>
      </c>
      <c r="Z5" s="25">
        <f>(X5-'2. Diesel-battery-storage'!$BE5)/'2. Diesel-battery-storage'!$BE5</f>
        <v>-0.15087239703689689</v>
      </c>
      <c r="AA5" s="26">
        <f>(X5-'2''. Storage - some with diesel'!$G5)/'2''. Storage - some with diesel'!$G5</f>
        <v>0.13900768046086648</v>
      </c>
      <c r="AB5" s="23">
        <f>(X5-'3. Battery and H2, no diesel'!$Z5)/'3. Battery and H2, no diesel'!$Z5</f>
        <v>-9.1020485340218352E-2</v>
      </c>
      <c r="AC5" s="30">
        <f>X5+0.5*(AH7+AH8)/AC32/1000</f>
        <v>85.514482449266666</v>
      </c>
      <c r="AD5" s="30">
        <f>X5+(AH7+AH8)/AC32/1000</f>
        <v>86.983101898533334</v>
      </c>
      <c r="AF5" s="4" t="s">
        <v>83</v>
      </c>
      <c r="AG5" s="7"/>
      <c r="AH5" s="7"/>
      <c r="AI5" s="1"/>
      <c r="AJ5" s="4" t="s">
        <v>23</v>
      </c>
      <c r="AK5" s="9">
        <v>70</v>
      </c>
      <c r="AL5" s="9">
        <f>AK5*AJ$3</f>
        <v>420</v>
      </c>
      <c r="AN5" s="4" t="s">
        <v>9</v>
      </c>
      <c r="AO5" s="7">
        <v>95.597301000000002</v>
      </c>
      <c r="AP5" s="20">
        <f>(AO5-'0. Current system'!$G5)/'0. Current system'!$G5</f>
        <v>-0.52702637455050216</v>
      </c>
      <c r="AQ5" s="25">
        <f>(AO5-'2. Diesel-battery-storage'!$BE5)/'2. Diesel-battery-storage'!$BE5</f>
        <v>-3.4166535384707007E-2</v>
      </c>
      <c r="AR5" s="26">
        <f>(AO5-'2''. Storage - some with diesel'!$G5)/'2''. Storage - some with diesel'!$G5</f>
        <v>0.29555526213502353</v>
      </c>
      <c r="AS5" s="23">
        <f>(AO5-'3. Battery and H2, no diesel'!$Z5)/'3. Battery and H2, no diesel'!$Z5</f>
        <v>3.3911547386515181E-2</v>
      </c>
      <c r="AT5" s="30">
        <f>AO5+0.5*(AY7+AY8)/AT32/1000</f>
        <v>96.37862940433493</v>
      </c>
      <c r="AU5" s="30">
        <f>AO5+(AY7+AY8)/AT32/1000</f>
        <v>97.159957808669859</v>
      </c>
      <c r="AW5" s="4" t="s">
        <v>83</v>
      </c>
      <c r="AX5" s="7"/>
      <c r="AY5" s="7"/>
      <c r="AZ5" s="1"/>
      <c r="BA5" s="4" t="s">
        <v>23</v>
      </c>
      <c r="BB5" s="9">
        <v>70</v>
      </c>
      <c r="BC5" s="9">
        <f>BB5*BA$3</f>
        <v>420</v>
      </c>
      <c r="BE5" s="4" t="s">
        <v>9</v>
      </c>
      <c r="BF5" s="7">
        <v>96.523143000000005</v>
      </c>
      <c r="BG5" s="20">
        <f>(BF5-'0. Current system'!$G5)/'0. Current system'!$G5</f>
        <v>-0.52244571335240608</v>
      </c>
      <c r="BH5" s="25">
        <f>(BF5-'2. Diesel-battery-storage'!$BE5)/'2. Diesel-battery-storage'!$BE5</f>
        <v>-2.4812618723959914E-2</v>
      </c>
      <c r="BI5" s="26">
        <f>(BF5-'2''. Storage - some with diesel'!$G5)/'2''. Storage - some with diesel'!$G5</f>
        <v>0.30810247280371822</v>
      </c>
      <c r="BJ5" s="23">
        <f>(BF5-'3. Battery and H2, no diesel'!$Z5)/'3. Battery and H2, no diesel'!$Z5</f>
        <v>4.3924787560057625E-2</v>
      </c>
      <c r="BK5" s="30">
        <f>BF5+0.5*(BP7+BP8)/BK32/1000</f>
        <v>97.693970893636049</v>
      </c>
      <c r="BL5" s="30">
        <f>BF5+(BP7+BP8)/BK32/1000</f>
        <v>98.864798787272079</v>
      </c>
      <c r="BN5" s="4" t="s">
        <v>83</v>
      </c>
      <c r="BO5" s="7"/>
      <c r="BP5" s="7"/>
      <c r="BQ5" s="1"/>
      <c r="BR5" s="4" t="s">
        <v>23</v>
      </c>
      <c r="BS5" s="9">
        <v>70</v>
      </c>
      <c r="BT5" s="9">
        <f>BS5*BR$3</f>
        <v>420</v>
      </c>
      <c r="BV5" s="4" t="s">
        <v>9</v>
      </c>
      <c r="BW5" s="7">
        <v>59.436045</v>
      </c>
      <c r="BX5" s="11">
        <f t="shared" ref="BX5:BX14" si="0">BX67</f>
        <v>84.187269120857295</v>
      </c>
      <c r="BY5" s="20">
        <f>(BX5-'0. Current system'!$G5)/'0. Current system'!$G5</f>
        <v>-0.58347822086750722</v>
      </c>
      <c r="BZ5" s="25">
        <f>(BX5-'2. Diesel-battery-storage'!$BE5)/'2. Diesel-battery-storage'!$BE5</f>
        <v>-0.14944375038896054</v>
      </c>
      <c r="CA5" s="26">
        <f>(BX5-'2''. Storage - some with diesel'!$G5)/'2''. Storage - some with diesel'!$G5</f>
        <v>0.14092404673960454</v>
      </c>
      <c r="CB5" s="23">
        <f>(BX5-'3. Battery and H2, no diesel'!$Z5)/'3. Battery and H2, no diesel'!$Z5</f>
        <v>-8.9491138594063949E-2</v>
      </c>
      <c r="CC5" s="19"/>
      <c r="CE5" s="4" t="s">
        <v>83</v>
      </c>
      <c r="CF5" s="7"/>
      <c r="CG5" s="7"/>
      <c r="CH5" s="7"/>
      <c r="CI5" s="1"/>
      <c r="CJ5" s="4" t="s">
        <v>23</v>
      </c>
      <c r="CK5" s="9">
        <v>70</v>
      </c>
      <c r="CL5" s="9">
        <f>CK5*CJ$3</f>
        <v>420</v>
      </c>
      <c r="CN5" s="4" t="s">
        <v>9</v>
      </c>
      <c r="CO5" s="7">
        <v>89.222932999999998</v>
      </c>
      <c r="CP5" s="11">
        <f t="shared" ref="CP5:CP14" si="1">CP67</f>
        <v>88.94013768919018</v>
      </c>
      <c r="CQ5" s="20">
        <f>(CP5-'0. Current system'!$G5)/'0. Current system'!$G5</f>
        <v>-0.55996310637646773</v>
      </c>
      <c r="CR5" s="25">
        <f>(CP5-'2. Diesel-battery-storage'!$BE5)/'2. Diesel-battery-storage'!$BE5</f>
        <v>-0.10142482654701988</v>
      </c>
      <c r="CS5" s="26">
        <f>(CP5-'2''. Storage - some with diesel'!$G5)/'2''. Storage - some with diesel'!$G5</f>
        <v>0.20533594769839653</v>
      </c>
      <c r="CT5" s="23">
        <f>(CP5-'3. Battery and H2, no diesel'!$Z5)/'3. Battery and H2, no diesel'!$Z5</f>
        <v>-3.808753572446217E-2</v>
      </c>
      <c r="CU5" s="19"/>
      <c r="CW5" s="4" t="s">
        <v>83</v>
      </c>
      <c r="CX5" s="7"/>
      <c r="CY5" s="7"/>
      <c r="CZ5" s="1"/>
      <c r="DA5" s="4" t="s">
        <v>23</v>
      </c>
      <c r="DB5" s="9">
        <v>70</v>
      </c>
      <c r="DC5" s="9">
        <f>DB5*DA$3</f>
        <v>420</v>
      </c>
      <c r="DE5" s="4" t="s">
        <v>9</v>
      </c>
      <c r="DF5" s="7">
        <v>77.515883000000002</v>
      </c>
      <c r="DG5" s="11">
        <f t="shared" ref="DG5:DG14" si="2">DG67</f>
        <v>74.233699290096624</v>
      </c>
      <c r="DH5" s="20">
        <f>(DG5-'0. Current system'!$G5)/'0. Current system'!$G5</f>
        <v>-0.63272413011153095</v>
      </c>
      <c r="DI5" s="25">
        <f>(DG5-'2. Diesel-battery-storage'!$BE5)/'2. Diesel-battery-storage'!$BE5</f>
        <v>-0.2500061170496452</v>
      </c>
      <c r="DJ5" s="26">
        <f>(DG5-'2''. Storage - some with diesel'!$G5)/'2''. Storage - some with diesel'!$G5</f>
        <v>6.0311194667895572E-3</v>
      </c>
      <c r="DK5" s="23">
        <f>(DG5-'3. Battery and H2, no diesel'!$Z5)/'3. Battery and H2, no diesel'!$Z5</f>
        <v>-0.19714178017171163</v>
      </c>
      <c r="DL5" s="19"/>
      <c r="DN5" s="4" t="s">
        <v>83</v>
      </c>
      <c r="DO5" s="7"/>
      <c r="DP5" s="7"/>
      <c r="DQ5" s="1"/>
      <c r="DR5" s="4" t="s">
        <v>23</v>
      </c>
      <c r="DS5" s="9">
        <v>70</v>
      </c>
      <c r="DT5" s="9">
        <f>DS5*DR$3</f>
        <v>420</v>
      </c>
      <c r="DV5" s="4" t="s">
        <v>9</v>
      </c>
      <c r="DW5" s="7">
        <v>61.643852000000003</v>
      </c>
      <c r="DX5" s="11">
        <f t="shared" ref="DX5:DX14" si="3">DX67</f>
        <v>90.064098017884234</v>
      </c>
      <c r="DY5" s="20">
        <f>(DX5-'0. Current system'!$G5)/'0. Current system'!$G5</f>
        <v>-0.55440224235663693</v>
      </c>
      <c r="DZ5" s="25">
        <f>(DX5-'2. Diesel-battery-storage'!$BE5)/'2. Diesel-battery-storage'!$BE5</f>
        <v>-9.0069291537169333E-2</v>
      </c>
      <c r="EA5" s="26">
        <f>(DX5-'2''. Storage - some with diesel'!$G5)/'2''. Storage - some with diesel'!$G5</f>
        <v>0.2205681007303173</v>
      </c>
      <c r="EB5" s="23">
        <f>(DX5-'3. Battery and H2, no diesel'!$Z5)/'3. Battery and H2, no diesel'!$Z5</f>
        <v>-2.593159041549236E-2</v>
      </c>
      <c r="EC5" s="19"/>
      <c r="EE5" s="4" t="s">
        <v>83</v>
      </c>
      <c r="EF5" s="7"/>
      <c r="EG5" s="7"/>
    </row>
    <row r="6" spans="1:137">
      <c r="A6" s="1"/>
      <c r="B6" s="4" t="s">
        <v>29</v>
      </c>
      <c r="C6" s="9">
        <v>200</v>
      </c>
      <c r="D6" s="9">
        <f t="shared" ref="D6:D14" si="4">C6*B$3</f>
        <v>1200</v>
      </c>
      <c r="F6" s="4" t="s">
        <v>11</v>
      </c>
      <c r="G6" s="7">
        <v>62.631211999999998</v>
      </c>
      <c r="H6" s="20">
        <f>(G6-'0. Current system'!$G6)/'0. Current system'!$G6</f>
        <v>-0.66061909508702132</v>
      </c>
      <c r="I6" s="25">
        <f>(G6-'2. Diesel-battery-storage'!$BE6)/'2. Diesel-battery-storage'!$BE6</f>
        <v>-0.30366744245336369</v>
      </c>
      <c r="J6" s="26">
        <f>(G6-'2''. Storage - some with diesel'!$G6)/'2''. Storage - some with diesel'!$G6</f>
        <v>-8.2046470589744055E-2</v>
      </c>
      <c r="K6" s="23">
        <f>(G6-'3. Battery and H2, no diesel'!$Z6)/'3. Battery and H2, no diesel'!$Z6</f>
        <v>-0.22053729366899494</v>
      </c>
      <c r="L6" s="30">
        <f>G6+0.5*(Q15+Q14)/L33/1000</f>
        <v>64.548372767719229</v>
      </c>
      <c r="M6" s="30">
        <f>G6+(Q15+Q14)/L33/1000</f>
        <v>66.465533535438453</v>
      </c>
      <c r="N6">
        <v>64557</v>
      </c>
      <c r="O6" s="4" t="s">
        <v>84</v>
      </c>
      <c r="P6" s="7">
        <v>0.52718100000000001</v>
      </c>
      <c r="Q6" s="9">
        <f>P6*N6</f>
        <v>34033.223816999998</v>
      </c>
      <c r="R6" s="1"/>
      <c r="S6" s="4" t="s">
        <v>29</v>
      </c>
      <c r="T6" s="9">
        <v>200</v>
      </c>
      <c r="U6" s="9">
        <f t="shared" ref="U6:U14" si="5">T6*S$3</f>
        <v>1200</v>
      </c>
      <c r="W6" s="4" t="s">
        <v>11</v>
      </c>
      <c r="X6" s="7">
        <v>62.702567999999999</v>
      </c>
      <c r="Y6" s="20">
        <f>(X6-'0. Current system'!$G6)/'0. Current system'!$G6</f>
        <v>-0.66023243701227474</v>
      </c>
      <c r="Z6" s="25">
        <f>(X6-'2. Diesel-battery-storage'!$BE6)/'2. Diesel-battery-storage'!$BE6</f>
        <v>-0.30287410787800373</v>
      </c>
      <c r="AA6" s="26">
        <f>(X6-'2''. Storage - some with diesel'!$G6)/'2''. Storage - some with diesel'!$G6</f>
        <v>-8.100064232053221E-2</v>
      </c>
      <c r="AB6" s="23">
        <f>(X6-'3. Battery and H2, no diesel'!$Z6)/'3. Battery and H2, no diesel'!$Z6</f>
        <v>-0.2196492485698045</v>
      </c>
      <c r="AC6" s="30">
        <f>X6+0.5*(AH15+AH14)/AC33/1000</f>
        <v>66.547802843797214</v>
      </c>
      <c r="AD6" s="30">
        <f>X6+(AH15+AH14)/AC33/1000</f>
        <v>70.393037687594429</v>
      </c>
      <c r="AE6">
        <f>2*N6</f>
        <v>129114</v>
      </c>
      <c r="AF6" s="4" t="s">
        <v>84</v>
      </c>
      <c r="AG6" s="7">
        <v>0.25157499999999999</v>
      </c>
      <c r="AH6" s="9">
        <f>AG6*AE6</f>
        <v>32481.85455</v>
      </c>
      <c r="AI6" s="1"/>
      <c r="AJ6" s="4" t="s">
        <v>29</v>
      </c>
      <c r="AK6" s="9">
        <v>200</v>
      </c>
      <c r="AL6" s="9">
        <f t="shared" ref="AL6:AL14" si="6">AK6*AJ$3</f>
        <v>1200</v>
      </c>
      <c r="AN6" s="4" t="s">
        <v>11</v>
      </c>
      <c r="AO6" s="7">
        <v>67.504917000000006</v>
      </c>
      <c r="AP6" s="20">
        <f>(AO6-'0. Current system'!$G6)/'0. Current system'!$G6</f>
        <v>-0.63420985981341826</v>
      </c>
      <c r="AQ6" s="25">
        <f>(AO6-'2. Diesel-battery-storage'!$BE6)/'2. Diesel-battery-storage'!$BE6</f>
        <v>-0.24948168811449134</v>
      </c>
      <c r="AR6" s="26">
        <f>(AO6-'2''. Storage - some with diesel'!$G6)/'2''. Storage - some with diesel'!$G6</f>
        <v>-1.0615077787471297E-2</v>
      </c>
      <c r="AS6" s="23">
        <f>(AO6-'3. Battery and H2, no diesel'!$Z6)/'3. Battery and H2, no diesel'!$Z6</f>
        <v>-0.15988269083041409</v>
      </c>
      <c r="AT6" s="30">
        <f>AO6+0.5*(AY15+AY14)/AT33/1000</f>
        <v>69.425087165625584</v>
      </c>
      <c r="AU6" s="30">
        <f>AO6+(AY15+AY14)/AT33/1000</f>
        <v>71.345257331251162</v>
      </c>
      <c r="AV6">
        <f>N6</f>
        <v>64557</v>
      </c>
      <c r="AW6" s="4" t="s">
        <v>84</v>
      </c>
      <c r="AX6" s="7">
        <v>0.49910199999999999</v>
      </c>
      <c r="AY6" s="9">
        <f>AX6*AV6</f>
        <v>32220.527814000001</v>
      </c>
      <c r="AZ6" s="1"/>
      <c r="BA6" s="4" t="s">
        <v>29</v>
      </c>
      <c r="BB6" s="9">
        <v>200</v>
      </c>
      <c r="BC6" s="9">
        <f t="shared" ref="BC6:BC14" si="7">BB6*BA$3</f>
        <v>1200</v>
      </c>
      <c r="BE6" s="4" t="s">
        <v>11</v>
      </c>
      <c r="BF6" s="7">
        <v>67.589860999999999</v>
      </c>
      <c r="BG6" s="20">
        <f>(BF6-'0. Current system'!$G6)/'0. Current system'!$G6</f>
        <v>-0.6337495721921772</v>
      </c>
      <c r="BH6" s="25">
        <f>(BF6-'2. Diesel-battery-storage'!$BE6)/'2. Diesel-battery-storage'!$BE6</f>
        <v>-0.24853728242794265</v>
      </c>
      <c r="BI6" s="26">
        <f>(BF6-'2''. Storage - some with diesel'!$G6)/'2''. Storage - some with diesel'!$G6</f>
        <v>-9.3700971761713197E-3</v>
      </c>
      <c r="BJ6" s="23">
        <f>(BF6-'3. Battery and H2, no diesel'!$Z6)/'3. Battery and H2, no diesel'!$Z6</f>
        <v>-0.15882553932380467</v>
      </c>
      <c r="BK6" s="30">
        <f>BF6+0.5*(BP15+BP14)/BK33/1000</f>
        <v>71.435026822986984</v>
      </c>
      <c r="BL6" s="30">
        <f>BF6+(BP15+BP14)/BK33/1000</f>
        <v>75.280192645973983</v>
      </c>
      <c r="BM6">
        <f>AE6</f>
        <v>129114</v>
      </c>
      <c r="BN6" s="4" t="s">
        <v>84</v>
      </c>
      <c r="BO6" s="7">
        <v>8.1778000000000003E-2</v>
      </c>
      <c r="BP6" s="9">
        <f>BO6*BM6</f>
        <v>10558.684692000001</v>
      </c>
      <c r="BQ6" s="1"/>
      <c r="BR6" s="4" t="s">
        <v>29</v>
      </c>
      <c r="BS6" s="9">
        <v>200</v>
      </c>
      <c r="BT6" s="9">
        <f t="shared" ref="BT6:BT14" si="8">BS6*BR$3</f>
        <v>1200</v>
      </c>
      <c r="BV6" s="4" t="s">
        <v>11</v>
      </c>
      <c r="BW6" s="7">
        <v>54.351402</v>
      </c>
      <c r="BX6" s="11">
        <f t="shared" si="0"/>
        <v>58.983487552396291</v>
      </c>
      <c r="BY6" s="20">
        <f>(BX6-'0. Current system'!$G6)/'0. Current system'!$G6</f>
        <v>-0.68038508690434307</v>
      </c>
      <c r="BZ6" s="25">
        <f>(BX6-'2. Diesel-battery-storage'!$BE6)/'2. Diesel-battery-storage'!$BE6</f>
        <v>-0.34422276962514636</v>
      </c>
      <c r="CA6" s="26">
        <f>(BX6-'2''. Storage - some with diesel'!$G6)/'2''. Storage - some with diesel'!$G6</f>
        <v>-0.13550929565839992</v>
      </c>
      <c r="CB6" s="23">
        <f>(BX6-'3. Battery and H2, no diesel'!$Z6)/'3. Battery and H2, no diesel'!$Z6</f>
        <v>-0.26593423042121611</v>
      </c>
      <c r="CC6" s="19"/>
      <c r="CD6">
        <v>64557</v>
      </c>
      <c r="CE6" s="4" t="s">
        <v>84</v>
      </c>
      <c r="CF6" s="7">
        <v>2.5</v>
      </c>
      <c r="CG6" s="9">
        <f>CF6*CD6</f>
        <v>161392.5</v>
      </c>
      <c r="CH6" s="9"/>
      <c r="CI6" s="1"/>
      <c r="CJ6" s="4" t="s">
        <v>29</v>
      </c>
      <c r="CK6" s="9">
        <v>200</v>
      </c>
      <c r="CL6" s="9">
        <f t="shared" ref="CL6:CL14" si="9">CK6*CJ$3</f>
        <v>1200</v>
      </c>
      <c r="CN6" s="4" t="s">
        <v>11</v>
      </c>
      <c r="CO6" s="7">
        <v>75.653147000000004</v>
      </c>
      <c r="CP6" s="11">
        <f t="shared" si="1"/>
        <v>79.080704921180697</v>
      </c>
      <c r="CQ6" s="20">
        <f>(CP6-'0. Current system'!$G6)/'0. Current system'!$G6</f>
        <v>-0.57148392406478499</v>
      </c>
      <c r="CR6" s="25">
        <f>(CP6-'2. Diesel-battery-storage'!$BE6)/'2. Diesel-battery-storage'!$BE6</f>
        <v>-0.12078231041806083</v>
      </c>
      <c r="CS6" s="26">
        <f>(CP6-'2''. Storage - some with diesel'!$G6)/'2''. Storage - some with diesel'!$G6</f>
        <v>0.1590453046102448</v>
      </c>
      <c r="CT6" s="23">
        <f>(CP6-'3. Battery and H2, no diesel'!$Z6)/'3. Battery and H2, no diesel'!$Z6</f>
        <v>-1.5818817677883363E-2</v>
      </c>
      <c r="CU6" s="19"/>
      <c r="CV6">
        <v>64557</v>
      </c>
      <c r="CW6" s="4" t="s">
        <v>84</v>
      </c>
      <c r="CX6" s="7">
        <v>1.8674E-2</v>
      </c>
      <c r="CY6" s="9">
        <f>CX6*CV6</f>
        <v>1205.5374179999999</v>
      </c>
      <c r="CZ6" s="1"/>
      <c r="DA6" s="4" t="s">
        <v>29</v>
      </c>
      <c r="DB6" s="9">
        <v>200</v>
      </c>
      <c r="DC6" s="9">
        <f t="shared" ref="DC6:DC14" si="10">DB6*DA$3</f>
        <v>1200</v>
      </c>
      <c r="DE6" s="4" t="s">
        <v>11</v>
      </c>
      <c r="DF6" s="7">
        <v>72.306726999999995</v>
      </c>
      <c r="DG6" s="11">
        <f t="shared" si="2"/>
        <v>75.6495721762507</v>
      </c>
      <c r="DH6" s="20">
        <f>(DG6-'0. Current system'!$G6)/'0. Current system'!$G6</f>
        <v>-0.59007626642359001</v>
      </c>
      <c r="DI6" s="25">
        <f>(DG6-'2. Diesel-battery-storage'!$BE6)/'2. Diesel-battery-storage'!$BE6</f>
        <v>-0.15892957538810668</v>
      </c>
      <c r="DJ6" s="26">
        <f>(DG6-'2''. Storage - some with diesel'!$G6)/'2''. Storage - some with diesel'!$G6</f>
        <v>0.10875695296404658</v>
      </c>
      <c r="DK6" s="23">
        <f>(DG6-'3. Battery and H2, no diesel'!$Z6)/'3. Battery and H2, no diesel'!$Z6</f>
        <v>-5.8520210956749905E-2</v>
      </c>
      <c r="DL6" s="19"/>
      <c r="DM6">
        <v>129114</v>
      </c>
      <c r="DN6" s="4" t="s">
        <v>84</v>
      </c>
      <c r="DO6" s="7">
        <v>0</v>
      </c>
      <c r="DP6" s="9">
        <f>DO6*DM6</f>
        <v>0</v>
      </c>
      <c r="DQ6" s="1"/>
      <c r="DR6" s="4" t="s">
        <v>29</v>
      </c>
      <c r="DS6" s="9">
        <v>200</v>
      </c>
      <c r="DT6" s="9">
        <f t="shared" ref="DT6:DT14" si="11">DS6*DR$3</f>
        <v>1200</v>
      </c>
      <c r="DV6" s="4" t="s">
        <v>11</v>
      </c>
      <c r="DW6" s="7">
        <v>52.996752999999998</v>
      </c>
      <c r="DX6" s="11">
        <f t="shared" si="3"/>
        <v>57.237323954387307</v>
      </c>
      <c r="DY6" s="20">
        <f>(DX6-'0. Current system'!$G6)/'0. Current system'!$G6</f>
        <v>-0.68984705583476058</v>
      </c>
      <c r="DZ6" s="25">
        <f>(DX6-'2. Diesel-battery-storage'!$BE6)/'2. Diesel-battery-storage'!$BE6</f>
        <v>-0.36363658144945582</v>
      </c>
      <c r="EA6" s="26">
        <f>(DX6-'2''. Storage - some with diesel'!$G6)/'2''. Storage - some with diesel'!$G6</f>
        <v>-0.16110191931256226</v>
      </c>
      <c r="EB6" s="23">
        <f>(DX6-'3. Battery and H2, no diesel'!$Z6)/'3. Battery and H2, no diesel'!$Z6</f>
        <v>-0.28766571797091844</v>
      </c>
      <c r="EC6" s="19"/>
      <c r="ED6">
        <v>129114</v>
      </c>
      <c r="EE6" s="4" t="s">
        <v>84</v>
      </c>
      <c r="EF6" s="7">
        <v>0.39927299999999999</v>
      </c>
      <c r="EG6" s="9">
        <f>EF6*ED6</f>
        <v>51551.734122000002</v>
      </c>
    </row>
    <row r="7" spans="1:137">
      <c r="A7" s="1"/>
      <c r="B7" s="4" t="s">
        <v>26</v>
      </c>
      <c r="C7" s="7">
        <v>20</v>
      </c>
      <c r="D7" s="9">
        <f t="shared" si="4"/>
        <v>120</v>
      </c>
      <c r="F7" s="4" t="s">
        <v>12</v>
      </c>
      <c r="G7" s="7">
        <v>188.675624</v>
      </c>
      <c r="H7" s="20">
        <f>(G7-'0. Current system'!$G7)/'0. Current system'!$G7</f>
        <v>0.4641022255723567</v>
      </c>
      <c r="I7" s="25">
        <f>(G7-'2. Diesel-battery-storage'!$BE7)/'2. Diesel-battery-storage'!$BE7</f>
        <v>0.69094932973607226</v>
      </c>
      <c r="J7" s="26">
        <f>(G7-'2''. Storage - some with diesel'!$G7)/'2''. Storage - some with diesel'!$G7</f>
        <v>0.69094932973607226</v>
      </c>
      <c r="K7" s="23">
        <f>(G7-'3. Battery and H2, no diesel'!$Z7)/'3. Battery and H2, no diesel'!$Z7</f>
        <v>0.69094932973607226</v>
      </c>
      <c r="L7" s="30">
        <f>G7+0.5*(Q9+Q10)/L34/1000</f>
        <v>205.32346393048863</v>
      </c>
      <c r="N7">
        <v>43038</v>
      </c>
      <c r="O7" s="4" t="s">
        <v>85</v>
      </c>
      <c r="P7" s="7">
        <v>0</v>
      </c>
      <c r="Q7" s="9">
        <f t="shared" ref="Q7:Q16" si="12">P7*N7</f>
        <v>0</v>
      </c>
      <c r="R7" s="1"/>
      <c r="S7" s="4" t="s">
        <v>26</v>
      </c>
      <c r="T7" s="7">
        <v>20</v>
      </c>
      <c r="U7" s="9">
        <f t="shared" si="5"/>
        <v>120</v>
      </c>
      <c r="W7" s="4" t="s">
        <v>12</v>
      </c>
      <c r="X7" s="7">
        <v>86.182838000000004</v>
      </c>
      <c r="Y7" s="20">
        <f>(X7-'0. Current system'!$G7)/'0. Current system'!$G7</f>
        <v>-0.3312305943562594</v>
      </c>
      <c r="Z7" s="25">
        <f>(X7-'2. Diesel-battery-storage'!$BE7)/'2. Diesel-battery-storage'!$BE7</f>
        <v>-0.22761187130960542</v>
      </c>
      <c r="AA7" s="26">
        <f>(X7-'2''. Storage - some with diesel'!$G7)/'2''. Storage - some with diesel'!$G7</f>
        <v>-0.22761187130960542</v>
      </c>
      <c r="AB7" s="23">
        <f>(X7-'3. Battery and H2, no diesel'!$Z7)/'3. Battery and H2, no diesel'!$Z7</f>
        <v>-0.22761187130960542</v>
      </c>
      <c r="AC7" s="30">
        <f>X7+0.5*(AH9+AH10)/AC34/1000</f>
        <v>96.545870287166011</v>
      </c>
      <c r="AE7">
        <f t="shared" ref="AE7:AE16" si="13">2*N7</f>
        <v>86076</v>
      </c>
      <c r="AF7" s="4" t="s">
        <v>85</v>
      </c>
      <c r="AG7" s="7">
        <v>0</v>
      </c>
      <c r="AH7" s="9">
        <f t="shared" ref="AH7:AH16" si="14">AG7*AE7</f>
        <v>0</v>
      </c>
      <c r="AI7" s="1"/>
      <c r="AJ7" s="4" t="s">
        <v>26</v>
      </c>
      <c r="AK7" s="7">
        <v>20</v>
      </c>
      <c r="AL7" s="9">
        <f t="shared" si="6"/>
        <v>120</v>
      </c>
      <c r="AN7" s="4" t="s">
        <v>12</v>
      </c>
      <c r="AO7" s="7">
        <v>195.60977500000001</v>
      </c>
      <c r="AP7" s="20">
        <f>(AO7-'0. Current system'!$G7)/'0. Current system'!$G7</f>
        <v>0.51791047963465575</v>
      </c>
      <c r="AQ7" s="25">
        <f>(AO7-'2. Diesel-battery-storage'!$BE7)/'2. Diesel-battery-storage'!$BE7</f>
        <v>0.75309460180226528</v>
      </c>
      <c r="AR7" s="26">
        <f>(AO7-'2''. Storage - some with diesel'!$G7)/'2''. Storage - some with diesel'!$G7</f>
        <v>0.75309460180226528</v>
      </c>
      <c r="AS7" s="23">
        <f>(AO7-'3. Battery and H2, no diesel'!$Z7)/'3. Battery and H2, no diesel'!$Z7</f>
        <v>0.75309460180226528</v>
      </c>
      <c r="AT7" s="30">
        <f>AO7+0.5*(AY9+AY10)/AT34/1000</f>
        <v>212.22152327923897</v>
      </c>
      <c r="AV7">
        <f t="shared" ref="AV7:AV16" si="15">N7</f>
        <v>43038</v>
      </c>
      <c r="AW7" s="4" t="s">
        <v>85</v>
      </c>
      <c r="AX7" s="7">
        <v>0</v>
      </c>
      <c r="AY7" s="9">
        <f t="shared" ref="AY7:AY16" si="16">AX7*AV7</f>
        <v>0</v>
      </c>
      <c r="AZ7" s="1"/>
      <c r="BA7" s="4" t="s">
        <v>26</v>
      </c>
      <c r="BB7" s="7">
        <v>20</v>
      </c>
      <c r="BC7" s="9">
        <f t="shared" si="7"/>
        <v>120</v>
      </c>
      <c r="BE7" s="4" t="s">
        <v>12</v>
      </c>
      <c r="BF7" s="7">
        <v>99.040475000000001</v>
      </c>
      <c r="BG7" s="20">
        <f>(BF7-'0. Current system'!$G7)/'0. Current system'!$G7</f>
        <v>-0.23145673619585669</v>
      </c>
      <c r="BH7" s="25">
        <f>(BF7-'2. Diesel-battery-storage'!$BE7)/'2. Diesel-battery-storage'!$BE7</f>
        <v>-0.11237911253447229</v>
      </c>
      <c r="BI7" s="26">
        <f>(BF7-'2''. Storage - some with diesel'!$G7)/'2''. Storage - some with diesel'!$G7</f>
        <v>-0.11237911253447229</v>
      </c>
      <c r="BJ7" s="23">
        <f>(BF7-'3. Battery and H2, no diesel'!$Z7)/'3. Battery and H2, no diesel'!$Z7</f>
        <v>-0.11237911253447229</v>
      </c>
      <c r="BK7" s="30">
        <f>BF7+0.5*(BP9+BP10)/BK34/1000</f>
        <v>111.18003220062124</v>
      </c>
      <c r="BM7">
        <f t="shared" ref="BM7:BM16" si="17">AE7</f>
        <v>86076</v>
      </c>
      <c r="BN7" s="4" t="s">
        <v>85</v>
      </c>
      <c r="BO7" s="7">
        <v>0</v>
      </c>
      <c r="BP7" s="9">
        <f t="shared" ref="BP7:BP16" si="18">BO7*BM7</f>
        <v>0</v>
      </c>
      <c r="BQ7" s="1"/>
      <c r="BR7" s="4" t="s">
        <v>26</v>
      </c>
      <c r="BS7" s="7">
        <v>20</v>
      </c>
      <c r="BT7" s="9">
        <f t="shared" si="8"/>
        <v>120</v>
      </c>
      <c r="BV7" s="4" t="s">
        <v>12</v>
      </c>
      <c r="BW7" s="7">
        <v>110.87851000000001</v>
      </c>
      <c r="BX7" s="11">
        <f t="shared" si="0"/>
        <v>115.81723917959646</v>
      </c>
      <c r="BY7" s="20">
        <f>(BX7-'0. Current system'!$G7)/'0. Current system'!$G7</f>
        <v>-0.10127087936651998</v>
      </c>
      <c r="BZ7" s="25">
        <f>(BX7-'2. Diesel-battery-storage'!$BE7)/'2. Diesel-battery-storage'!$BE7</f>
        <v>3.7977661399550965E-2</v>
      </c>
      <c r="CA7" s="26">
        <f>(BX7-'2''. Storage - some with diesel'!$G7)/'2''. Storage - some with diesel'!$G7</f>
        <v>3.7977661399550965E-2</v>
      </c>
      <c r="CB7" s="23">
        <f>(BX7-'3. Battery and H2, no diesel'!$Z7)/'3. Battery and H2, no diesel'!$Z7</f>
        <v>3.7977661399550965E-2</v>
      </c>
      <c r="CC7" s="19"/>
      <c r="CD7">
        <v>43038</v>
      </c>
      <c r="CE7" s="4" t="s">
        <v>85</v>
      </c>
      <c r="CF7" s="7">
        <v>0</v>
      </c>
      <c r="CG7" s="9">
        <f t="shared" ref="CG7:CG16" si="19">CF7*CD7</f>
        <v>0</v>
      </c>
      <c r="CH7" s="9"/>
      <c r="CI7" s="1"/>
      <c r="CJ7" s="4" t="s">
        <v>26</v>
      </c>
      <c r="CK7" s="7">
        <v>20</v>
      </c>
      <c r="CL7" s="9">
        <f t="shared" si="9"/>
        <v>120</v>
      </c>
      <c r="CN7" s="4" t="s">
        <v>12</v>
      </c>
      <c r="CO7" s="7">
        <v>129.67507699999999</v>
      </c>
      <c r="CP7" s="11">
        <f t="shared" si="1"/>
        <v>140.11635904596073</v>
      </c>
      <c r="CQ7" s="20">
        <f>(CP7-'0. Current system'!$G7)/'0. Current system'!$G7</f>
        <v>8.7287635621051532E-2</v>
      </c>
      <c r="CR7" s="25">
        <f>(CP7-'2. Diesel-battery-storage'!$BE7)/'2. Diesel-battery-storage'!$BE7</f>
        <v>0.25575131747716467</v>
      </c>
      <c r="CS7" s="26">
        <f>(CP7-'2''. Storage - some with diesel'!$G7)/'2''. Storage - some with diesel'!$G7</f>
        <v>0.25575131747716467</v>
      </c>
      <c r="CT7" s="23">
        <f>(CP7-'3. Battery and H2, no diesel'!$Z7)/'3. Battery and H2, no diesel'!$Z7</f>
        <v>0.25575131747716467</v>
      </c>
      <c r="CU7" s="19"/>
      <c r="CV7">
        <v>43038</v>
      </c>
      <c r="CW7" s="4" t="s">
        <v>85</v>
      </c>
      <c r="CX7" s="7">
        <v>0</v>
      </c>
      <c r="CY7" s="9">
        <f t="shared" ref="CY7:CY16" si="20">CX7*CV7</f>
        <v>0</v>
      </c>
      <c r="CZ7" s="1"/>
      <c r="DA7" s="4" t="s">
        <v>26</v>
      </c>
      <c r="DB7" s="7">
        <v>20</v>
      </c>
      <c r="DC7" s="9">
        <f t="shared" si="10"/>
        <v>120</v>
      </c>
      <c r="DE7" s="4" t="s">
        <v>12</v>
      </c>
      <c r="DF7" s="7">
        <v>181.78474700000001</v>
      </c>
      <c r="DG7" s="11">
        <f t="shared" si="2"/>
        <v>206.70785397261957</v>
      </c>
      <c r="DH7" s="20">
        <f>(DG7-'0. Current system'!$G7)/'0. Current system'!$G7</f>
        <v>0.60403035977025854</v>
      </c>
      <c r="DI7" s="25">
        <f>(DG7-'2. Diesel-battery-storage'!$BE7)/'2. Diesel-battery-storage'!$BE7</f>
        <v>0.85255784354094921</v>
      </c>
      <c r="DJ7" s="26">
        <f>(DG7-'2''. Storage - some with diesel'!$G7)/'2''. Storage - some with diesel'!$G7</f>
        <v>0.85255784354094921</v>
      </c>
      <c r="DK7" s="23">
        <f>(DG7-'3. Battery and H2, no diesel'!$Z7)/'3. Battery and H2, no diesel'!$Z7</f>
        <v>0.85255784354094921</v>
      </c>
      <c r="DL7" s="19"/>
      <c r="DM7">
        <v>86076</v>
      </c>
      <c r="DN7" s="4" t="s">
        <v>85</v>
      </c>
      <c r="DO7" s="7">
        <v>0</v>
      </c>
      <c r="DP7" s="9">
        <f t="shared" ref="DP7:DP16" si="21">DO7*DM7</f>
        <v>0</v>
      </c>
      <c r="DQ7" s="1"/>
      <c r="DR7" s="4" t="s">
        <v>26</v>
      </c>
      <c r="DS7" s="7">
        <v>20</v>
      </c>
      <c r="DT7" s="9">
        <f t="shared" si="11"/>
        <v>120</v>
      </c>
      <c r="DV7" s="4" t="s">
        <v>12</v>
      </c>
      <c r="DW7" s="7">
        <v>111.65437900000001</v>
      </c>
      <c r="DX7" s="11">
        <f t="shared" si="3"/>
        <v>115.01068251924087</v>
      </c>
      <c r="DY7" s="20">
        <f>(DX7-'0. Current system'!$G7)/'0. Current system'!$G7</f>
        <v>-0.10752967091808159</v>
      </c>
      <c r="DZ7" s="25">
        <f>(DX7-'2. Diesel-battery-storage'!$BE7)/'2. Diesel-battery-storage'!$BE7</f>
        <v>3.0749136509539542E-2</v>
      </c>
      <c r="EA7" s="26">
        <f>(DX7-'2''. Storage - some with diesel'!$G7)/'2''. Storage - some with diesel'!$G7</f>
        <v>3.0749136509539542E-2</v>
      </c>
      <c r="EB7" s="23">
        <f>(DX7-'3. Battery and H2, no diesel'!$Z7)/'3. Battery and H2, no diesel'!$Z7</f>
        <v>3.0749136509539542E-2</v>
      </c>
      <c r="EC7" s="19"/>
      <c r="ED7">
        <v>86076</v>
      </c>
      <c r="EE7" s="4" t="s">
        <v>85</v>
      </c>
      <c r="EF7" s="7">
        <v>0</v>
      </c>
      <c r="EG7" s="9">
        <f t="shared" ref="EG7:EG16" si="22">EF7*ED7</f>
        <v>0</v>
      </c>
    </row>
    <row r="8" spans="1:137">
      <c r="A8" s="1"/>
      <c r="B8" s="4" t="s">
        <v>25</v>
      </c>
      <c r="C8" s="9">
        <v>320</v>
      </c>
      <c r="D8" s="9">
        <f t="shared" si="4"/>
        <v>1920</v>
      </c>
      <c r="F8" s="4" t="s">
        <v>13</v>
      </c>
      <c r="G8" s="7">
        <v>101.85481</v>
      </c>
      <c r="H8" s="20">
        <f>(G8-'0. Current system'!$G8)/'0. Current system'!$G8</f>
        <v>-0.40687695469871399</v>
      </c>
      <c r="I8" s="25">
        <f>(G8-'2. Diesel-battery-storage'!$BE8)/'2. Diesel-battery-storage'!$BE8</f>
        <v>0.17075737677949587</v>
      </c>
      <c r="J8" s="26">
        <f>(G8-'2''. Storage - some with diesel'!$G8)/'2''. Storage - some with diesel'!$G8</f>
        <v>-8.2134742925156545E-2</v>
      </c>
      <c r="K8" s="23">
        <f>(G8-'3. Battery and H2, no diesel'!$Z8)/'3. Battery and H2, no diesel'!$Z8</f>
        <v>2.5228375318453778E-2</v>
      </c>
      <c r="L8" s="30">
        <f>G8+0.5*(Q9+Q10)/L35/1000</f>
        <v>102.55314007167622</v>
      </c>
      <c r="N8">
        <v>73324</v>
      </c>
      <c r="O8" s="4" t="s">
        <v>86</v>
      </c>
      <c r="P8" s="7">
        <v>7.0589680000000001</v>
      </c>
      <c r="Q8" s="9">
        <f t="shared" si="12"/>
        <v>517591.76963200001</v>
      </c>
      <c r="R8" s="1"/>
      <c r="S8" s="4" t="s">
        <v>25</v>
      </c>
      <c r="T8" s="9">
        <v>320</v>
      </c>
      <c r="U8" s="9">
        <f t="shared" si="5"/>
        <v>1920</v>
      </c>
      <c r="W8" s="4" t="s">
        <v>13</v>
      </c>
      <c r="X8" s="7">
        <v>103.504386</v>
      </c>
      <c r="Y8" s="20">
        <f>(X8-'0. Current system'!$G8)/'0. Current system'!$G8</f>
        <v>-0.39727110947082628</v>
      </c>
      <c r="Z8" s="25">
        <f>(X8-'2. Diesel-battery-storage'!$BE8)/'2. Diesel-battery-storage'!$BE8</f>
        <v>0.18971822183490769</v>
      </c>
      <c r="AA8" s="26">
        <f>(X8-'2''. Storage - some with diesel'!$G8)/'2''. Storage - some with diesel'!$G8</f>
        <v>-6.7269578488597409E-2</v>
      </c>
      <c r="AB8" s="23">
        <f>(X8-'3. Battery and H2, no diesel'!$Z8)/'3. Battery and H2, no diesel'!$Z8</f>
        <v>4.1832324827017091E-2</v>
      </c>
      <c r="AC8" s="30">
        <f>X8+0.5*(AH9+AH10)/AC35/1000</f>
        <v>104.61616550166009</v>
      </c>
      <c r="AE8">
        <f t="shared" si="13"/>
        <v>146648</v>
      </c>
      <c r="AF8" s="4" t="s">
        <v>86</v>
      </c>
      <c r="AG8" s="7">
        <v>6.9708050000000004</v>
      </c>
      <c r="AH8" s="9">
        <f t="shared" si="14"/>
        <v>1022254.61164</v>
      </c>
      <c r="AI8" s="1"/>
      <c r="AJ8" s="4" t="s">
        <v>25</v>
      </c>
      <c r="AK8" s="9">
        <v>320</v>
      </c>
      <c r="AL8" s="9">
        <f t="shared" si="6"/>
        <v>1920</v>
      </c>
      <c r="AN8" s="4" t="s">
        <v>13</v>
      </c>
      <c r="AO8" s="7">
        <v>106.17770400000001</v>
      </c>
      <c r="AP8" s="20">
        <f>(AO8-'0. Current system'!$G8)/'0. Current system'!$G8</f>
        <v>-0.38170378856355885</v>
      </c>
      <c r="AQ8" s="25">
        <f>(AO8-'2. Diesel-battery-storage'!$BE8)/'2. Diesel-battery-storage'!$BE8</f>
        <v>0.22044634129217652</v>
      </c>
      <c r="AR8" s="26">
        <f>(AO8-'2''. Storage - some with diesel'!$G8)/'2''. Storage - some with diesel'!$G8</f>
        <v>-4.3178956618969304E-2</v>
      </c>
      <c r="AS8" s="23">
        <f>(AO8-'3. Battery and H2, no diesel'!$Z8)/'3. Battery and H2, no diesel'!$Z8</f>
        <v>6.8740837737203533E-2</v>
      </c>
      <c r="AT8" s="30">
        <f>AO8+0.5*(AY9+AY10)/AT35/1000</f>
        <v>106.87862349460863</v>
      </c>
      <c r="AV8">
        <f t="shared" si="15"/>
        <v>73324</v>
      </c>
      <c r="AW8" s="4" t="s">
        <v>86</v>
      </c>
      <c r="AX8" s="7">
        <v>7.5972239999999998</v>
      </c>
      <c r="AY8" s="9">
        <f t="shared" si="16"/>
        <v>557058.85257600003</v>
      </c>
      <c r="AZ8" s="1"/>
      <c r="BA8" s="4" t="s">
        <v>25</v>
      </c>
      <c r="BB8" s="9">
        <v>320</v>
      </c>
      <c r="BC8" s="9">
        <f t="shared" si="7"/>
        <v>1920</v>
      </c>
      <c r="BE8" s="4" t="s">
        <v>13</v>
      </c>
      <c r="BF8" s="7">
        <v>108.487263</v>
      </c>
      <c r="BG8" s="20">
        <f>(BF8-'0. Current system'!$G8)/'0. Current system'!$G8</f>
        <v>-0.36825471662102627</v>
      </c>
      <c r="BH8" s="25">
        <f>(BF8-'2. Diesel-battery-storage'!$BE8)/'2. Diesel-battery-storage'!$BE8</f>
        <v>0.24699327841137067</v>
      </c>
      <c r="BI8" s="26">
        <f>(BF8-'2''. Storage - some with diesel'!$G8)/'2''. Storage - some with diesel'!$G8</f>
        <v>-2.2366351251932523E-2</v>
      </c>
      <c r="BJ8" s="23">
        <f>(BF8-'3. Battery and H2, no diesel'!$Z8)/'3. Battery and H2, no diesel'!$Z8</f>
        <v>9.1987903057654336E-2</v>
      </c>
      <c r="BK8" s="30">
        <f>BF8+0.5*(BP9+BP10)/BK35/1000</f>
        <v>109.62913689271171</v>
      </c>
      <c r="BM8">
        <f t="shared" si="17"/>
        <v>146648</v>
      </c>
      <c r="BN8" s="4" t="s">
        <v>86</v>
      </c>
      <c r="BO8" s="7">
        <v>5.7660770000000001</v>
      </c>
      <c r="BP8" s="9">
        <f t="shared" si="18"/>
        <v>845583.65989600006</v>
      </c>
      <c r="BQ8" s="1" t="s">
        <v>304</v>
      </c>
      <c r="BR8" s="4" t="s">
        <v>25</v>
      </c>
      <c r="BS8" s="9">
        <v>320</v>
      </c>
      <c r="BT8" s="9">
        <f t="shared" si="8"/>
        <v>1920</v>
      </c>
      <c r="BV8" s="4" t="s">
        <v>13</v>
      </c>
      <c r="BW8" s="7">
        <v>117.474605</v>
      </c>
      <c r="BX8" s="11">
        <f t="shared" si="0"/>
        <v>116.13338226097217</v>
      </c>
      <c r="BY8" s="20">
        <f>(BX8-'0. Current system'!$G8)/'0. Current system'!$G8</f>
        <v>-0.32372967611675718</v>
      </c>
      <c r="BZ8" s="25">
        <f>(BX8-'2. Diesel-battery-storage'!$BE8)/'2. Diesel-battery-storage'!$BE8</f>
        <v>0.33488064012280044</v>
      </c>
      <c r="CA8" s="26">
        <f>(BX8-'2''. Storage - some with diesel'!$G8)/'2''. Storage - some with diesel'!$G8</f>
        <v>4.6536700269121156E-2</v>
      </c>
      <c r="CB8" s="23">
        <f>(BX8-'3. Battery and H2, no diesel'!$Z8)/'3. Battery and H2, no diesel'!$Z8</f>
        <v>0.16895057597823251</v>
      </c>
      <c r="CC8" s="19"/>
      <c r="CD8">
        <v>73324</v>
      </c>
      <c r="CE8" s="4" t="s">
        <v>86</v>
      </c>
      <c r="CF8" s="7">
        <v>15.174279</v>
      </c>
      <c r="CG8" s="9">
        <f t="shared" si="19"/>
        <v>1112638.8333960001</v>
      </c>
      <c r="CH8" s="9"/>
      <c r="CI8" s="1"/>
      <c r="CJ8" s="4" t="s">
        <v>25</v>
      </c>
      <c r="CK8" s="9">
        <v>320</v>
      </c>
      <c r="CL8" s="9">
        <f t="shared" si="9"/>
        <v>1920</v>
      </c>
      <c r="CN8" s="4" t="s">
        <v>13</v>
      </c>
      <c r="CO8" s="7">
        <v>111.15826199999999</v>
      </c>
      <c r="CP8" s="11">
        <f t="shared" si="1"/>
        <v>113.23832025606652</v>
      </c>
      <c r="CQ8" s="20">
        <f>(CP8-'0. Current system'!$G8)/'0. Current system'!$G8</f>
        <v>-0.34058826131941661</v>
      </c>
      <c r="CR8" s="25">
        <f>(CP8-'2. Diesel-battery-storage'!$BE8)/'2. Diesel-battery-storage'!$BE8</f>
        <v>0.30160371192984292</v>
      </c>
      <c r="CS8" s="26">
        <f>(CP8-'2''. Storage - some with diesel'!$G8)/'2''. Storage - some with diesel'!$G8</f>
        <v>2.0447830913021627E-2</v>
      </c>
      <c r="CT8" s="23">
        <f>(CP8-'3. Battery and H2, no diesel'!$Z8)/'3. Battery and H2, no diesel'!$Z8</f>
        <v>0.13981007966062503</v>
      </c>
      <c r="CU8" s="19"/>
      <c r="CV8">
        <v>73324</v>
      </c>
      <c r="CW8" s="4" t="s">
        <v>86</v>
      </c>
      <c r="CX8" s="7">
        <v>23.665016000000001</v>
      </c>
      <c r="CY8" s="9">
        <f t="shared" si="20"/>
        <v>1735213.6331840002</v>
      </c>
      <c r="CZ8" s="1"/>
      <c r="DA8" s="4" t="s">
        <v>25</v>
      </c>
      <c r="DB8" s="9">
        <v>320</v>
      </c>
      <c r="DC8" s="9">
        <f t="shared" si="10"/>
        <v>1920</v>
      </c>
      <c r="DE8" s="4" t="s">
        <v>13</v>
      </c>
      <c r="DF8" s="7">
        <v>116.10765499999999</v>
      </c>
      <c r="DG8" s="11">
        <f t="shared" si="2"/>
        <v>116.37850678398058</v>
      </c>
      <c r="DH8" s="20">
        <f>(DG8-'0. Current system'!$G8)/'0. Current system'!$G8</f>
        <v>-0.32230226190269329</v>
      </c>
      <c r="DI8" s="25">
        <f>(DG8-'2. Diesel-battery-storage'!$BE8)/'2. Diesel-battery-storage'!$BE8</f>
        <v>0.33769819330012862</v>
      </c>
      <c r="DJ8" s="26">
        <f>(DG8-'2''. Storage - some with diesel'!$G8)/'2''. Storage - some with diesel'!$G8</f>
        <v>4.8745641440642327E-2</v>
      </c>
      <c r="DK8" s="23">
        <f>(DG8-'3. Battery and H2, no diesel'!$Z8)/'3. Battery and H2, no diesel'!$Z8</f>
        <v>0.17141789800725232</v>
      </c>
      <c r="DL8" s="19"/>
      <c r="DM8">
        <v>146648</v>
      </c>
      <c r="DN8" s="4" t="s">
        <v>86</v>
      </c>
      <c r="DO8" s="7">
        <v>6.1533660000000001</v>
      </c>
      <c r="DP8" s="9">
        <f t="shared" si="21"/>
        <v>902378.81716800004</v>
      </c>
      <c r="DQ8" s="1"/>
      <c r="DR8" s="4" t="s">
        <v>25</v>
      </c>
      <c r="DS8" s="9">
        <v>320</v>
      </c>
      <c r="DT8" s="9">
        <f t="shared" si="11"/>
        <v>1920</v>
      </c>
      <c r="DV8" s="4" t="s">
        <v>13</v>
      </c>
      <c r="DW8" s="7">
        <v>116.95116400000001</v>
      </c>
      <c r="DX8" s="11">
        <f t="shared" si="3"/>
        <v>116.4724899628829</v>
      </c>
      <c r="DY8" s="20">
        <f>(DX8-'0. Current system'!$G8)/'0. Current system'!$G8</f>
        <v>-0.32175497710310808</v>
      </c>
      <c r="DZ8" s="25">
        <f>(DX8-'2. Diesel-battery-storage'!$BE8)/'2. Diesel-battery-storage'!$BE8</f>
        <v>0.33877847119758953</v>
      </c>
      <c r="EA8" s="26">
        <f>(DX8-'2''. Storage - some with diesel'!$G8)/'2''. Storage - some with diesel'!$G8</f>
        <v>4.959257144486981E-2</v>
      </c>
      <c r="EB8" s="23">
        <f>(DX8-'3. Battery and H2, no diesel'!$Z8)/'3. Battery and H2, no diesel'!$Z8</f>
        <v>0.1723638938008068</v>
      </c>
      <c r="EC8" s="19"/>
      <c r="ED8">
        <v>146648</v>
      </c>
      <c r="EE8" s="4" t="s">
        <v>86</v>
      </c>
      <c r="EF8" s="7">
        <v>8.8685860000000005</v>
      </c>
      <c r="EG8" s="9">
        <f t="shared" si="22"/>
        <v>1300560.3997280002</v>
      </c>
    </row>
    <row r="9" spans="1:137">
      <c r="A9" s="1"/>
      <c r="B9" s="4" t="s">
        <v>31</v>
      </c>
      <c r="C9" s="9">
        <v>45</v>
      </c>
      <c r="D9" s="9">
        <f t="shared" si="4"/>
        <v>270</v>
      </c>
      <c r="F9" s="4" t="s">
        <v>14</v>
      </c>
      <c r="G9" s="7">
        <v>69.444635000000005</v>
      </c>
      <c r="H9" s="20">
        <f>(G9-'0. Current system'!$G9)/'0. Current system'!$G9</f>
        <v>-0.65563622720376824</v>
      </c>
      <c r="I9" s="25">
        <f>(G9-'2. Diesel-battery-storage'!$BE9)/'2. Diesel-battery-storage'!$BE9</f>
        <v>-0.24197327123343129</v>
      </c>
      <c r="J9" s="26">
        <f>(G9-'2''. Storage - some with diesel'!$G9)/'2''. Storage - some with diesel'!$G9</f>
        <v>-0.21205253366239432</v>
      </c>
      <c r="K9" s="23">
        <f>(G9-'3. Battery and H2, no diesel'!$Z9)/'3. Battery and H2, no diesel'!$Z9</f>
        <v>-0.21720078570030404</v>
      </c>
      <c r="L9" s="30">
        <f>G9+0.5*(Q13)/L36/1000</f>
        <v>71.74343931954111</v>
      </c>
      <c r="N9">
        <v>76512</v>
      </c>
      <c r="O9" s="4" t="s">
        <v>87</v>
      </c>
      <c r="P9" s="7">
        <v>20</v>
      </c>
      <c r="Q9" s="9">
        <f t="shared" si="12"/>
        <v>1530240</v>
      </c>
      <c r="R9" s="1"/>
      <c r="S9" s="4" t="s">
        <v>31</v>
      </c>
      <c r="T9" s="9">
        <v>45</v>
      </c>
      <c r="U9" s="9">
        <f t="shared" si="5"/>
        <v>270</v>
      </c>
      <c r="W9" s="4" t="s">
        <v>14</v>
      </c>
      <c r="X9" s="7">
        <v>76.410224999999997</v>
      </c>
      <c r="Y9" s="20">
        <f>(X9-'0. Current system'!$G9)/'0. Current system'!$G9</f>
        <v>-0.62109508731367158</v>
      </c>
      <c r="Z9" s="25">
        <f>(X9-'2. Diesel-battery-storage'!$BE9)/'2. Diesel-battery-storage'!$BE9</f>
        <v>-0.16593999088529329</v>
      </c>
      <c r="AA9" s="26">
        <f>(X9-'2''. Storage - some with diesel'!$G9)/'2''. Storage - some with diesel'!$G9</f>
        <v>-0.13301807704747287</v>
      </c>
      <c r="AB9" s="23">
        <f>(X9-'3. Battery and H2, no diesel'!$Z9)/'3. Battery and H2, no diesel'!$Z9</f>
        <v>-0.13868272049434807</v>
      </c>
      <c r="AC9" s="30">
        <f>X9+0.5*(AH13)/AC36/1000</f>
        <v>78.873668009153761</v>
      </c>
      <c r="AE9">
        <f t="shared" si="13"/>
        <v>153024</v>
      </c>
      <c r="AF9" s="4" t="s">
        <v>87</v>
      </c>
      <c r="AG9" s="7">
        <v>20</v>
      </c>
      <c r="AH9" s="9">
        <f t="shared" si="14"/>
        <v>3060480</v>
      </c>
      <c r="AI9" s="1"/>
      <c r="AJ9" s="4" t="s">
        <v>31</v>
      </c>
      <c r="AK9" s="9">
        <v>45</v>
      </c>
      <c r="AL9" s="9">
        <f t="shared" si="6"/>
        <v>270</v>
      </c>
      <c r="AN9" s="4" t="s">
        <v>14</v>
      </c>
      <c r="AO9" s="7">
        <v>75.732141999999996</v>
      </c>
      <c r="AP9" s="20">
        <f>(AO9-'0. Current system'!$G9)/'0. Current system'!$G9</f>
        <v>-0.62445758205713142</v>
      </c>
      <c r="AQ9" s="25">
        <f>(AO9-'2. Diesel-battery-storage'!$BE9)/'2. Diesel-battery-storage'!$BE9</f>
        <v>-0.17334164312699954</v>
      </c>
      <c r="AR9" s="26">
        <f>(AO9-'2''. Storage - some with diesel'!$G9)/'2''. Storage - some with diesel'!$G9</f>
        <v>-0.14071188639381912</v>
      </c>
      <c r="AS9" s="23">
        <f>(AO9-'3. Battery and H2, no diesel'!$Z9)/'3. Battery and H2, no diesel'!$Z9</f>
        <v>-0.14632626041114627</v>
      </c>
      <c r="AT9" s="30">
        <f>AO9+0.5*(AY13)/AT36/1000</f>
        <v>77.967909411745126</v>
      </c>
      <c r="AV9">
        <f t="shared" si="15"/>
        <v>76512</v>
      </c>
      <c r="AW9" s="4" t="s">
        <v>87</v>
      </c>
      <c r="AX9" s="7">
        <v>20</v>
      </c>
      <c r="AY9" s="9">
        <f t="shared" si="16"/>
        <v>1530240</v>
      </c>
      <c r="AZ9" s="1"/>
      <c r="BA9" s="4" t="s">
        <v>31</v>
      </c>
      <c r="BB9" s="9">
        <v>45</v>
      </c>
      <c r="BC9" s="9">
        <f t="shared" si="7"/>
        <v>270</v>
      </c>
      <c r="BE9" s="4" t="s">
        <v>14</v>
      </c>
      <c r="BF9" s="7">
        <v>81.887803000000005</v>
      </c>
      <c r="BG9" s="20">
        <f>(BF9-'0. Current system'!$G9)/'0. Current system'!$G9</f>
        <v>-0.5939327381146926</v>
      </c>
      <c r="BH9" s="25">
        <f>(BF9-'2. Diesel-battery-storage'!$BE9)/'2. Diesel-battery-storage'!$BE9</f>
        <v>-0.10614918727744468</v>
      </c>
      <c r="BI9" s="26">
        <f>(BF9-'2''. Storage - some with diesel'!$G9)/'2''. Storage - some with diesel'!$G9</f>
        <v>-7.0867218211990254E-2</v>
      </c>
      <c r="BJ9" s="23">
        <f>(BF9-'3. Battery and H2, no diesel'!$Z9)/'3. Battery and H2, no diesel'!$Z9</f>
        <v>-7.6937939854845747E-2</v>
      </c>
      <c r="BK9" s="30">
        <f>BF9+0.5*(BP13)/BK36/1000</f>
        <v>84.350050193289619</v>
      </c>
      <c r="BM9">
        <f t="shared" si="17"/>
        <v>153024</v>
      </c>
      <c r="BN9" s="4" t="s">
        <v>87</v>
      </c>
      <c r="BO9" s="7">
        <v>20</v>
      </c>
      <c r="BP9" s="9">
        <f t="shared" si="18"/>
        <v>3060480</v>
      </c>
      <c r="BQ9" s="1"/>
      <c r="BR9" s="4" t="s">
        <v>31</v>
      </c>
      <c r="BS9" s="9">
        <v>45</v>
      </c>
      <c r="BT9" s="9">
        <f t="shared" si="8"/>
        <v>270</v>
      </c>
      <c r="BV9" s="4" t="s">
        <v>14</v>
      </c>
      <c r="BW9" s="7">
        <v>98.236532999999994</v>
      </c>
      <c r="BX9" s="11">
        <f t="shared" si="0"/>
        <v>91.048301390517793</v>
      </c>
      <c r="BY9" s="20">
        <f>(BX9-'0. Current system'!$G9)/'0. Current system'!$G9</f>
        <v>-0.54850743223681575</v>
      </c>
      <c r="BZ9" s="25">
        <f>(BX9-'2. Diesel-battery-storage'!$BE9)/'2. Diesel-battery-storage'!$BE9</f>
        <v>-6.1572638000498411E-3</v>
      </c>
      <c r="CA9" s="26">
        <f>(BX9-'2''. Storage - some with diesel'!$G9)/'2''. Storage - some with diesel'!$G9</f>
        <v>3.3071574139617678E-2</v>
      </c>
      <c r="CB9" s="23">
        <f>(BX9-'3. Battery and H2, no diesel'!$Z9)/'3. Battery and H2, no diesel'!$Z9</f>
        <v>2.6321742375335931E-2</v>
      </c>
      <c r="CC9" s="19"/>
      <c r="CD9">
        <v>76512</v>
      </c>
      <c r="CE9" s="4" t="s">
        <v>87</v>
      </c>
      <c r="CF9" s="7">
        <v>14.728581999999999</v>
      </c>
      <c r="CG9" s="9">
        <f t="shared" si="19"/>
        <v>1126913.2659839999</v>
      </c>
      <c r="CH9" s="9"/>
      <c r="CI9" s="1"/>
      <c r="CJ9" s="4" t="s">
        <v>31</v>
      </c>
      <c r="CK9" s="9">
        <v>45</v>
      </c>
      <c r="CL9" s="9">
        <f t="shared" si="9"/>
        <v>270</v>
      </c>
      <c r="CN9" s="4" t="s">
        <v>14</v>
      </c>
      <c r="CO9" s="7">
        <v>49.910474999999998</v>
      </c>
      <c r="CP9" s="11">
        <f t="shared" si="1"/>
        <v>52.646930860292983</v>
      </c>
      <c r="CQ9" s="20">
        <f>(CP9-'0. Current system'!$G9)/'0. Current system'!$G9</f>
        <v>-0.73893309775200278</v>
      </c>
      <c r="CR9" s="25">
        <f>(CP9-'2. Diesel-battery-storage'!$BE9)/'2. Diesel-battery-storage'!$BE9</f>
        <v>-0.42532953366912213</v>
      </c>
      <c r="CS9" s="26">
        <f>(CP9-'2''. Storage - some with diesel'!$G9)/'2''. Storage - some with diesel'!$G9</f>
        <v>-0.40264621188060162</v>
      </c>
      <c r="CT9" s="23">
        <f>(CP9-'3. Battery and H2, no diesel'!$Z9)/'3. Battery and H2, no diesel'!$Z9</f>
        <v>-0.40654917240579119</v>
      </c>
      <c r="CU9" s="19"/>
      <c r="CV9">
        <v>76512</v>
      </c>
      <c r="CW9" s="4" t="s">
        <v>87</v>
      </c>
      <c r="CX9" s="7">
        <v>20</v>
      </c>
      <c r="CY9" s="9">
        <f t="shared" si="20"/>
        <v>1530240</v>
      </c>
      <c r="CZ9" s="1"/>
      <c r="DA9" s="4" t="s">
        <v>31</v>
      </c>
      <c r="DB9" s="9">
        <v>45</v>
      </c>
      <c r="DC9" s="9">
        <f t="shared" si="10"/>
        <v>270</v>
      </c>
      <c r="DE9" s="4" t="s">
        <v>14</v>
      </c>
      <c r="DF9" s="7">
        <v>50.544030999999997</v>
      </c>
      <c r="DG9" s="11">
        <f t="shared" si="2"/>
        <v>52.948052709143283</v>
      </c>
      <c r="DH9" s="20">
        <f>(DG9-'0. Current system'!$G9)/'0. Current system'!$G9</f>
        <v>-0.73743988728381515</v>
      </c>
      <c r="DI9" s="25">
        <f>(DG9-'2. Diesel-battery-storage'!$BE9)/'2. Diesel-battery-storage'!$BE9</f>
        <v>-0.42204262158377337</v>
      </c>
      <c r="DJ9" s="26">
        <f>(DG9-'2''. Storage - some with diesel'!$G9)/'2''. Storage - some with diesel'!$G9</f>
        <v>-0.39922955920670555</v>
      </c>
      <c r="DK9" s="23">
        <f>(DG9-'3. Battery and H2, no diesel'!$Z9)/'3. Battery and H2, no diesel'!$Z9</f>
        <v>-0.40315484328751605</v>
      </c>
      <c r="DL9" s="19"/>
      <c r="DM9">
        <v>153024</v>
      </c>
      <c r="DN9" s="4" t="s">
        <v>87</v>
      </c>
      <c r="DO9" s="7">
        <v>15.776471000000001</v>
      </c>
      <c r="DP9" s="9">
        <f t="shared" si="21"/>
        <v>2414178.6983040003</v>
      </c>
      <c r="DQ9" s="1"/>
      <c r="DR9" s="4" t="s">
        <v>31</v>
      </c>
      <c r="DS9" s="9">
        <v>45</v>
      </c>
      <c r="DT9" s="9">
        <f t="shared" si="11"/>
        <v>270</v>
      </c>
      <c r="DV9" s="4" t="s">
        <v>14</v>
      </c>
      <c r="DW9" s="7">
        <v>114.522004</v>
      </c>
      <c r="DX9" s="11">
        <f t="shared" si="3"/>
        <v>113.90775838397091</v>
      </c>
      <c r="DY9" s="20">
        <f>(DX9-'0. Current system'!$G9)/'0. Current system'!$G9</f>
        <v>-0.43515139178331314</v>
      </c>
      <c r="DZ9" s="25">
        <f>(DX9-'2. Diesel-battery-storage'!$BE9)/'2. Diesel-battery-storage'!$BE9</f>
        <v>0.2433663949552641</v>
      </c>
      <c r="EA9" s="26">
        <f>(DX9-'2''. Storage - some with diesel'!$G9)/'2''. Storage - some with diesel'!$G9</f>
        <v>0.29244439998634936</v>
      </c>
      <c r="EB9" s="23">
        <f>(DX9-'3. Battery and H2, no diesel'!$Z9)/'3. Battery and H2, no diesel'!$Z9</f>
        <v>0.28399989092911249</v>
      </c>
      <c r="EC9" s="19"/>
      <c r="ED9">
        <v>153024</v>
      </c>
      <c r="EE9" s="4" t="s">
        <v>87</v>
      </c>
      <c r="EF9" s="7">
        <v>15.619624999999999</v>
      </c>
      <c r="EG9" s="9">
        <f t="shared" si="22"/>
        <v>2390177.4959999998</v>
      </c>
    </row>
    <row r="10" spans="1:137">
      <c r="A10" s="1"/>
      <c r="B10" s="4" t="s">
        <v>28</v>
      </c>
      <c r="C10" s="9">
        <v>75</v>
      </c>
      <c r="D10" s="9">
        <f t="shared" si="4"/>
        <v>450</v>
      </c>
      <c r="F10" s="4" t="s">
        <v>15</v>
      </c>
      <c r="G10" s="7">
        <v>97.397148000000001</v>
      </c>
      <c r="H10" s="20">
        <f>(G10-'0. Current system'!$G10)/'0. Current system'!$G10</f>
        <v>-0.5166040885552845</v>
      </c>
      <c r="I10" s="25">
        <f>(G10-'2. Diesel-battery-storage'!$BE10)/'2. Diesel-battery-storage'!$BE10</f>
        <v>4.1665375241849364E-2</v>
      </c>
      <c r="J10" s="26">
        <f>(G10-'2''. Storage - some with diesel'!$G10)/'2''. Storage - some with diesel'!$G10</f>
        <v>3.8922260888186767E-2</v>
      </c>
      <c r="K10" s="23">
        <f>(G10-'3. Battery and H2, no diesel'!$Z10)/'3. Battery and H2, no diesel'!$Z10</f>
        <v>0.20296741969938817</v>
      </c>
      <c r="L10" s="30">
        <f>G10+0.5*(Q11+Q12)/L37/1000</f>
        <v>98.993431319640806</v>
      </c>
      <c r="N10">
        <v>74918</v>
      </c>
      <c r="O10" s="4" t="s">
        <v>88</v>
      </c>
      <c r="P10" s="7">
        <v>16.733332999999998</v>
      </c>
      <c r="Q10" s="9">
        <f t="shared" si="12"/>
        <v>1253627.8416939999</v>
      </c>
      <c r="R10" s="1"/>
      <c r="S10" s="4" t="s">
        <v>28</v>
      </c>
      <c r="T10" s="9">
        <v>75</v>
      </c>
      <c r="U10" s="9">
        <f t="shared" si="5"/>
        <v>450</v>
      </c>
      <c r="W10" s="4" t="s">
        <v>15</v>
      </c>
      <c r="X10" s="7">
        <v>118.80397600000001</v>
      </c>
      <c r="Y10" s="20">
        <f>(X10-'0. Current system'!$G10)/'0. Current system'!$G10</f>
        <v>-0.41035895361354829</v>
      </c>
      <c r="Z10" s="25">
        <f>(X10-'2. Diesel-battery-storage'!$BE10)/'2. Diesel-battery-storage'!$BE10</f>
        <v>0.27061203311891296</v>
      </c>
      <c r="AA10" s="26">
        <f>(X10-'2''. Storage - some with diesel'!$G10)/'2''. Storage - some with diesel'!$G10</f>
        <v>0.26726601222887841</v>
      </c>
      <c r="AB10" s="23">
        <f>(X10-'3. Battery and H2, no diesel'!$Z10)/'3. Battery and H2, no diesel'!$Z10</f>
        <v>0.46736650295702747</v>
      </c>
      <c r="AC10" s="30">
        <f>X10+0.5*(AH11+AH12)/AC37/1000</f>
        <v>120.74926343284189</v>
      </c>
      <c r="AE10">
        <f t="shared" si="13"/>
        <v>149836</v>
      </c>
      <c r="AF10" s="4" t="s">
        <v>88</v>
      </c>
      <c r="AG10" s="7">
        <v>8.3800480000000004</v>
      </c>
      <c r="AH10" s="9">
        <f t="shared" si="14"/>
        <v>1255632.872128</v>
      </c>
      <c r="AI10" s="1"/>
      <c r="AJ10" s="4" t="s">
        <v>28</v>
      </c>
      <c r="AK10" s="9">
        <v>75</v>
      </c>
      <c r="AL10" s="9">
        <f t="shared" si="6"/>
        <v>450</v>
      </c>
      <c r="AN10" s="4" t="s">
        <v>15</v>
      </c>
      <c r="AO10" s="7">
        <v>102.336901</v>
      </c>
      <c r="AP10" s="20">
        <f>(AO10-'0. Current system'!$G10)/'0. Current system'!$G10</f>
        <v>-0.49208739116957911</v>
      </c>
      <c r="AQ10" s="25">
        <f>(AO10-'2. Diesel-battery-storage'!$BE10)/'2. Diesel-battery-storage'!$BE10</f>
        <v>9.4496179510851638E-2</v>
      </c>
      <c r="AR10" s="26">
        <f>(AO10-'2''. Storage - some with diesel'!$G10)/'2''. Storage - some with diesel'!$G10</f>
        <v>9.1613940884701636E-2</v>
      </c>
      <c r="AS10" s="23">
        <f>(AO10-'3. Battery and H2, no diesel'!$Z10)/'3. Battery and H2, no diesel'!$Z10</f>
        <v>0.26397908218012434</v>
      </c>
      <c r="AT10" s="30">
        <f>AO10+0.5*(AY11+AY12)/AT37/1000</f>
        <v>103.88389070035581</v>
      </c>
      <c r="AV10">
        <f t="shared" si="15"/>
        <v>74918</v>
      </c>
      <c r="AW10" s="4" t="s">
        <v>88</v>
      </c>
      <c r="AX10" s="7">
        <v>16.733332999999998</v>
      </c>
      <c r="AY10" s="9">
        <f t="shared" si="16"/>
        <v>1253627.8416939999</v>
      </c>
      <c r="AZ10" s="1"/>
      <c r="BA10" s="4" t="s">
        <v>28</v>
      </c>
      <c r="BB10" s="9">
        <v>75</v>
      </c>
      <c r="BC10" s="9">
        <f t="shared" si="7"/>
        <v>450</v>
      </c>
      <c r="BE10" s="4" t="s">
        <v>15</v>
      </c>
      <c r="BF10" s="7">
        <v>123.453964</v>
      </c>
      <c r="BG10" s="20">
        <f>(BF10-'0. Current system'!$G10)/'0. Current system'!$G10</f>
        <v>-0.38728040117516488</v>
      </c>
      <c r="BH10" s="25">
        <f>(BF10-'2. Diesel-battery-storage'!$BE10)/'2. Diesel-battery-storage'!$BE10</f>
        <v>0.32034379215245357</v>
      </c>
      <c r="BI10" s="26">
        <f>(BF10-'2''. Storage - some with diesel'!$G10)/'2''. Storage - some with diesel'!$G10</f>
        <v>0.31686680799409872</v>
      </c>
      <c r="BJ10" s="23">
        <f>(BF10-'3. Battery and H2, no diesel'!$Z10)/'3. Battery and H2, no diesel'!$Z10</f>
        <v>0.52479923256830019</v>
      </c>
      <c r="BK10" s="30">
        <f>BF10+0.5*(BP11+BP12)/BK37/1000</f>
        <v>125.40984178358339</v>
      </c>
      <c r="BM10">
        <f t="shared" si="17"/>
        <v>149836</v>
      </c>
      <c r="BN10" s="4" t="s">
        <v>88</v>
      </c>
      <c r="BO10" s="7">
        <v>9.2132550000000002</v>
      </c>
      <c r="BP10" s="9">
        <f t="shared" si="18"/>
        <v>1380477.27618</v>
      </c>
      <c r="BQ10" s="1"/>
      <c r="BR10" s="4" t="s">
        <v>28</v>
      </c>
      <c r="BS10" s="9">
        <v>75</v>
      </c>
      <c r="BT10" s="9">
        <f t="shared" si="8"/>
        <v>450</v>
      </c>
      <c r="BV10" s="4" t="s">
        <v>15</v>
      </c>
      <c r="BW10" s="7">
        <v>151.62828200000001</v>
      </c>
      <c r="BX10" s="11">
        <f t="shared" si="0"/>
        <v>123.2385681265832</v>
      </c>
      <c r="BY10" s="20">
        <f>(BX10-'0. Current system'!$G10)/'0. Current system'!$G10</f>
        <v>-0.38834944155971235</v>
      </c>
      <c r="BZ10" s="25">
        <f>(BX10-'2. Diesel-battery-storage'!$BE10)/'2. Diesel-battery-storage'!$BE10</f>
        <v>0.31804012692286954</v>
      </c>
      <c r="CA10" s="26">
        <f>(BX10-'2''. Storage - some with diesel'!$G10)/'2''. Storage - some with diesel'!$G10</f>
        <v>0.31456920922050663</v>
      </c>
      <c r="CB10" s="23">
        <f>(BX10-'3. Battery and H2, no diesel'!$Z10)/'3. Battery and H2, no diesel'!$Z10</f>
        <v>0.52213884442163605</v>
      </c>
      <c r="CC10" s="19"/>
      <c r="CD10">
        <v>74918</v>
      </c>
      <c r="CE10" s="4" t="s">
        <v>88</v>
      </c>
      <c r="CF10" s="7">
        <v>20</v>
      </c>
      <c r="CG10" s="9">
        <f t="shared" si="19"/>
        <v>1498360</v>
      </c>
      <c r="CH10" s="9"/>
      <c r="CI10" s="1"/>
      <c r="CJ10" s="4" t="s">
        <v>28</v>
      </c>
      <c r="CK10" s="9">
        <v>75</v>
      </c>
      <c r="CL10" s="9">
        <f t="shared" si="9"/>
        <v>450</v>
      </c>
      <c r="CN10" s="4" t="s">
        <v>15</v>
      </c>
      <c r="CO10" s="7">
        <v>38.243758999999997</v>
      </c>
      <c r="CP10" s="11">
        <f t="shared" si="1"/>
        <v>47.484681098496779</v>
      </c>
      <c r="CQ10" s="20">
        <f>(CP10-'0. Current system'!$G10)/'0. Current system'!$G10</f>
        <v>-0.76432676756336337</v>
      </c>
      <c r="CR10" s="25">
        <f>(CP10-'2. Diesel-battery-storage'!$BE10)/'2. Diesel-battery-storage'!$BE10</f>
        <v>-0.49214993282241493</v>
      </c>
      <c r="CS10" s="26">
        <f>(CP10-'2''. Storage - some with diesel'!$G10)/'2''. Storage - some with diesel'!$G10</f>
        <v>-0.49348730165687377</v>
      </c>
      <c r="CT10" s="23">
        <f>(CP10-'3. Battery and H2, no diesel'!$Z10)/'3. Battery and H2, no diesel'!$Z10</f>
        <v>-0.41350927137715593</v>
      </c>
      <c r="CU10" s="19"/>
      <c r="CV10">
        <v>74918</v>
      </c>
      <c r="CW10" s="4" t="s">
        <v>88</v>
      </c>
      <c r="CX10" s="7">
        <v>20</v>
      </c>
      <c r="CY10" s="9">
        <f t="shared" si="20"/>
        <v>1498360</v>
      </c>
      <c r="CZ10" s="1"/>
      <c r="DA10" s="4" t="s">
        <v>28</v>
      </c>
      <c r="DB10" s="9">
        <v>75</v>
      </c>
      <c r="DC10" s="9">
        <f t="shared" si="10"/>
        <v>450</v>
      </c>
      <c r="DE10" s="4" t="s">
        <v>15</v>
      </c>
      <c r="DF10" s="7">
        <v>43.250298999999998</v>
      </c>
      <c r="DG10" s="11">
        <f t="shared" si="2"/>
        <v>50.439020477191697</v>
      </c>
      <c r="DH10" s="20">
        <f>(DG10-'0. Current system'!$G10)/'0. Current system'!$G10</f>
        <v>-0.74966396063311069</v>
      </c>
      <c r="DI10" s="25">
        <f>(DG10-'2. Diesel-battery-storage'!$BE10)/'2. Diesel-battery-storage'!$BE10</f>
        <v>-0.46055318588789468</v>
      </c>
      <c r="DJ10" s="26">
        <f>(DG10-'2''. Storage - some with diesel'!$G10)/'2''. Storage - some with diesel'!$G10</f>
        <v>-0.46197376137595381</v>
      </c>
      <c r="DK10" s="23">
        <f>(DG10-'3. Battery and H2, no diesel'!$Z10)/'3. Battery and H2, no diesel'!$Z10</f>
        <v>-0.37701976329315212</v>
      </c>
      <c r="DL10" s="19"/>
      <c r="DM10">
        <v>149836</v>
      </c>
      <c r="DN10" s="4" t="s">
        <v>88</v>
      </c>
      <c r="DO10" s="7">
        <v>20</v>
      </c>
      <c r="DP10" s="9">
        <f t="shared" si="21"/>
        <v>2996720</v>
      </c>
      <c r="DQ10" s="1"/>
      <c r="DR10" s="4" t="s">
        <v>28</v>
      </c>
      <c r="DS10" s="9">
        <v>75</v>
      </c>
      <c r="DT10" s="9">
        <f t="shared" si="11"/>
        <v>450</v>
      </c>
      <c r="DV10" s="4" t="s">
        <v>15</v>
      </c>
      <c r="DW10" s="7">
        <v>153.27339699999999</v>
      </c>
      <c r="DX10" s="11">
        <f t="shared" si="3"/>
        <v>134.01412556208581</v>
      </c>
      <c r="DY10" s="20">
        <f>(DX10-'0. Current system'!$G10)/'0. Current system'!$G10</f>
        <v>-0.33486881594776258</v>
      </c>
      <c r="DZ10" s="25">
        <f>(DX10-'2. Diesel-battery-storage'!$BE10)/'2. Diesel-battery-storage'!$BE10</f>
        <v>0.43328503203541885</v>
      </c>
      <c r="EA10" s="26">
        <f>(DX10-'2''. Storage - some with diesel'!$G10)/'2''. Storage - some with diesel'!$G10</f>
        <v>0.42951062920154015</v>
      </c>
      <c r="EB10" s="23">
        <f>(DX10-'3. Battery and H2, no diesel'!$Z10)/'3. Battery and H2, no diesel'!$Z10</f>
        <v>0.65522944091434976</v>
      </c>
      <c r="EC10" s="19"/>
      <c r="ED10">
        <v>149836</v>
      </c>
      <c r="EE10" s="4" t="s">
        <v>88</v>
      </c>
      <c r="EF10" s="7">
        <v>20</v>
      </c>
      <c r="EG10" s="9">
        <f t="shared" si="22"/>
        <v>2996720</v>
      </c>
    </row>
    <row r="11" spans="1:137">
      <c r="A11" s="1"/>
      <c r="B11" s="4" t="s">
        <v>24</v>
      </c>
      <c r="C11" s="7">
        <v>3</v>
      </c>
      <c r="D11" s="9">
        <f t="shared" si="4"/>
        <v>18</v>
      </c>
      <c r="F11" s="4" t="s">
        <v>16</v>
      </c>
      <c r="G11" s="7">
        <v>173.89190500000001</v>
      </c>
      <c r="H11" s="20">
        <f>(G11-'0. Current system'!$G11)/'0. Current system'!$G11</f>
        <v>-9.054349652838696E-2</v>
      </c>
      <c r="I11" s="25">
        <f>(G11-'2. Diesel-battery-storage'!$BE11)/'2. Diesel-battery-storage'!$BE11</f>
        <v>0.64293205880969084</v>
      </c>
      <c r="J11" s="26">
        <f>(G11-'2''. Storage - some with diesel'!$G11)/'2''. Storage - some with diesel'!$G11</f>
        <v>0.47933081282420892</v>
      </c>
      <c r="K11" s="23">
        <f>(G11-'3. Battery and H2, no diesel'!$Z11)/'3. Battery and H2, no diesel'!$Z11</f>
        <v>0.51828086527981954</v>
      </c>
      <c r="L11" s="30">
        <f>G11+0.5*(Q6+Q7)/L38/1000</f>
        <v>175.20988832787035</v>
      </c>
      <c r="N11">
        <v>65354</v>
      </c>
      <c r="O11" s="4" t="s">
        <v>89</v>
      </c>
      <c r="P11" s="7">
        <v>21.156237000000001</v>
      </c>
      <c r="Q11" s="9">
        <f t="shared" si="12"/>
        <v>1382644.7128980001</v>
      </c>
      <c r="R11" s="1"/>
      <c r="S11" s="4" t="s">
        <v>24</v>
      </c>
      <c r="T11" s="7">
        <v>3</v>
      </c>
      <c r="U11" s="9">
        <f t="shared" si="5"/>
        <v>18</v>
      </c>
      <c r="W11" s="4" t="s">
        <v>16</v>
      </c>
      <c r="X11" s="7">
        <v>135.330321</v>
      </c>
      <c r="Y11" s="20">
        <f>(X11-'0. Current system'!$G11)/'0. Current system'!$G11</f>
        <v>-0.29222098895086002</v>
      </c>
      <c r="Z11" s="25">
        <f>(X11-'2. Diesel-battery-storage'!$BE11)/'2. Diesel-battery-storage'!$BE11</f>
        <v>0.27860191594258704</v>
      </c>
      <c r="AA11" s="26">
        <f>(X11-'2''. Storage - some with diesel'!$G11)/'2''. Storage - some with diesel'!$G11</f>
        <v>0.15128023794259485</v>
      </c>
      <c r="AB11" s="23">
        <f>(X11-'3. Battery and H2, no diesel'!$Z11)/'3. Battery and H2, no diesel'!$Z11</f>
        <v>0.18159288016584624</v>
      </c>
      <c r="AC11" s="30">
        <f>X11+0.5*(AH6+AH7)/AC38/1000</f>
        <v>136.41013477965836</v>
      </c>
      <c r="AE11">
        <f t="shared" si="13"/>
        <v>130708</v>
      </c>
      <c r="AF11" s="4" t="s">
        <v>89</v>
      </c>
      <c r="AG11" s="7">
        <v>11.642973</v>
      </c>
      <c r="AH11" s="9">
        <f t="shared" si="14"/>
        <v>1521829.7148839999</v>
      </c>
      <c r="AI11" s="1"/>
      <c r="AJ11" s="4" t="s">
        <v>24</v>
      </c>
      <c r="AK11" s="7">
        <v>0.37861600000000001</v>
      </c>
      <c r="AL11" s="9">
        <f t="shared" si="6"/>
        <v>2.2716959999999999</v>
      </c>
      <c r="AN11" s="4" t="s">
        <v>16</v>
      </c>
      <c r="AO11" s="7">
        <v>157.522862</v>
      </c>
      <c r="AP11" s="20">
        <f>(AO11-'0. Current system'!$G11)/'0. Current system'!$G11</f>
        <v>-0.17615376465418894</v>
      </c>
      <c r="AQ11" s="25">
        <f>(AO11-'2. Diesel-battery-storage'!$BE11)/'2. Diesel-battery-storage'!$BE11</f>
        <v>0.48827721437208255</v>
      </c>
      <c r="AR11" s="26">
        <f>(AO11-'2''. Storage - some with diesel'!$G11)/'2''. Storage - some with diesel'!$G11</f>
        <v>0.34007631626587614</v>
      </c>
      <c r="AS11" s="23">
        <f>(AO11-'3. Battery and H2, no diesel'!$Z11)/'3. Battery and H2, no diesel'!$Z11</f>
        <v>0.3753598663417575</v>
      </c>
      <c r="AT11" s="30">
        <f>AO11+0.5*(AY6+AY7)/AT38/1000</f>
        <v>158.70623075597734</v>
      </c>
      <c r="AV11">
        <f t="shared" si="15"/>
        <v>65354</v>
      </c>
      <c r="AW11" s="4" t="s">
        <v>89</v>
      </c>
      <c r="AX11" s="7">
        <v>20.411059999999999</v>
      </c>
      <c r="AY11" s="9">
        <f t="shared" si="16"/>
        <v>1333944.41524</v>
      </c>
      <c r="AZ11" s="1"/>
      <c r="BA11" s="4" t="s">
        <v>24</v>
      </c>
      <c r="BB11" s="7">
        <v>1.111853</v>
      </c>
      <c r="BC11" s="9">
        <f t="shared" si="7"/>
        <v>6.6711179999999999</v>
      </c>
      <c r="BE11" s="4" t="s">
        <v>16</v>
      </c>
      <c r="BF11" s="7">
        <v>125.954429</v>
      </c>
      <c r="BG11" s="20">
        <f>(BF11-'0. Current system'!$G11)/'0. Current system'!$G11</f>
        <v>-0.34125700333719655</v>
      </c>
      <c r="BH11" s="25">
        <f>(BF11-'2. Diesel-battery-storage'!$BE11)/'2. Diesel-battery-storage'!$BE11</f>
        <v>0.19001841605662456</v>
      </c>
      <c r="BI11" s="26">
        <f>(BF11-'2''. Storage - some with diesel'!$G11)/'2''. Storage - some with diesel'!$G11</f>
        <v>7.1517778998275466E-2</v>
      </c>
      <c r="BJ11" s="23">
        <f>(BF11-'3. Battery and H2, no diesel'!$Z11)/'3. Battery and H2, no diesel'!$Z11</f>
        <v>9.9730314921477173E-2</v>
      </c>
      <c r="BK11" s="30">
        <f>BF11+0.5*(BP6+BP7)/BK38/1000</f>
        <v>126.28546722607122</v>
      </c>
      <c r="BM11">
        <f t="shared" si="17"/>
        <v>130708</v>
      </c>
      <c r="BN11" s="4" t="s">
        <v>89</v>
      </c>
      <c r="BO11" s="7">
        <v>11.729979</v>
      </c>
      <c r="BP11" s="9">
        <f t="shared" si="18"/>
        <v>1533202.095132</v>
      </c>
      <c r="BQ11" s="1"/>
      <c r="BR11" s="4" t="s">
        <v>24</v>
      </c>
      <c r="BS11" s="7">
        <v>3</v>
      </c>
      <c r="BT11" s="9">
        <f t="shared" si="8"/>
        <v>18</v>
      </c>
      <c r="BV11" s="4" t="s">
        <v>16</v>
      </c>
      <c r="BW11" s="7">
        <v>156.41712799999999</v>
      </c>
      <c r="BX11" s="11">
        <f t="shared" si="0"/>
        <v>158.73768456544008</v>
      </c>
      <c r="BY11" s="20">
        <f>(BX11-'0. Current system'!$G11)/'0. Current system'!$G11</f>
        <v>-0.1698002297803054</v>
      </c>
      <c r="BZ11" s="25">
        <f>(BX11-'2. Diesel-battery-storage'!$BE11)/'2. Diesel-battery-storage'!$BE11</f>
        <v>0.49975486733428875</v>
      </c>
      <c r="CA11" s="26">
        <f>(BX11-'2''. Storage - some with diesel'!$G11)/'2''. Storage - some with diesel'!$G11</f>
        <v>0.35041103801827544</v>
      </c>
      <c r="CB11" s="23">
        <f>(BX11-'3. Battery and H2, no diesel'!$Z11)/'3. Battery and H2, no diesel'!$Z11</f>
        <v>0.38596669623310759</v>
      </c>
      <c r="CC11" s="19"/>
      <c r="CD11">
        <v>65354</v>
      </c>
      <c r="CE11" s="4" t="s">
        <v>89</v>
      </c>
      <c r="CF11" s="7">
        <v>50.197065000000002</v>
      </c>
      <c r="CG11" s="9">
        <f t="shared" si="19"/>
        <v>3280578.9860100001</v>
      </c>
      <c r="CH11" s="9"/>
      <c r="CI11" s="1"/>
      <c r="CJ11" s="4" t="s">
        <v>24</v>
      </c>
      <c r="CK11" s="7">
        <v>1.971023</v>
      </c>
      <c r="CL11" s="9">
        <f t="shared" si="9"/>
        <v>11.826138</v>
      </c>
      <c r="CN11" s="4" t="s">
        <v>16</v>
      </c>
      <c r="CO11" s="7">
        <v>116.511037</v>
      </c>
      <c r="CP11" s="11">
        <f t="shared" si="1"/>
        <v>116.51520015014741</v>
      </c>
      <c r="CQ11" s="20">
        <f>(CP11-'0. Current system'!$G11)/'0. Current system'!$G11</f>
        <v>-0.39062427011856465</v>
      </c>
      <c r="CR11" s="25">
        <f>(CP11-'2. Diesel-battery-storage'!$BE11)/'2. Diesel-battery-storage'!$BE11</f>
        <v>0.10083650912505027</v>
      </c>
      <c r="CS11" s="26">
        <f>(CP11-'2''. Storage - some with diesel'!$G11)/'2''. Storage - some with diesel'!$G11</f>
        <v>-8.7834983204482832E-3</v>
      </c>
      <c r="CT11" s="23">
        <f>(CP11-'3. Battery and H2, no diesel'!$Z11)/'3. Battery and H2, no diesel'!$Z11</f>
        <v>1.73147444800099E-2</v>
      </c>
      <c r="CU11" s="19"/>
      <c r="CV11">
        <v>65354</v>
      </c>
      <c r="CW11" s="4" t="s">
        <v>89</v>
      </c>
      <c r="CX11" s="7">
        <v>57.433750000000003</v>
      </c>
      <c r="CY11" s="9">
        <f t="shared" si="20"/>
        <v>3753525.2975000003</v>
      </c>
      <c r="CZ11" s="1"/>
      <c r="DA11" s="4" t="s">
        <v>24</v>
      </c>
      <c r="DB11" s="7">
        <v>2.3066490000000002</v>
      </c>
      <c r="DC11" s="9">
        <f t="shared" si="10"/>
        <v>13.839894000000001</v>
      </c>
      <c r="DE11" s="4" t="s">
        <v>16</v>
      </c>
      <c r="DF11" s="7">
        <v>117.54768</v>
      </c>
      <c r="DG11" s="11">
        <f t="shared" si="2"/>
        <v>117.54768</v>
      </c>
      <c r="DH11" s="20">
        <f>(DG11-'0. Current system'!$G11)/'0. Current system'!$G11</f>
        <v>-0.38522438957696131</v>
      </c>
      <c r="DI11" s="25">
        <f>(DG11-'2. Diesel-battery-storage'!$BE11)/'2. Diesel-battery-storage'!$BE11</f>
        <v>0.11059138670487688</v>
      </c>
      <c r="DJ11" s="26">
        <f>(DG11-'2''. Storage - some with diesel'!$G11)/'2''. Storage - some with diesel'!$G11</f>
        <v>0</v>
      </c>
      <c r="DK11" s="23">
        <f>(DG11-'3. Battery and H2, no diesel'!$Z11)/'3. Battery and H2, no diesel'!$Z11</f>
        <v>2.6329507989663624E-2</v>
      </c>
      <c r="DL11" s="19"/>
      <c r="DM11">
        <v>130708</v>
      </c>
      <c r="DN11" s="4" t="s">
        <v>89</v>
      </c>
      <c r="DO11" s="7">
        <v>44.040080000000003</v>
      </c>
      <c r="DP11" s="9">
        <f t="shared" si="21"/>
        <v>5756390.7766400008</v>
      </c>
      <c r="DQ11" s="1"/>
      <c r="DR11" s="4" t="s">
        <v>24</v>
      </c>
      <c r="DS11" s="7">
        <v>3</v>
      </c>
      <c r="DT11" s="9">
        <f t="shared" si="11"/>
        <v>18</v>
      </c>
      <c r="DV11" s="4" t="s">
        <v>16</v>
      </c>
      <c r="DW11" s="7">
        <v>159.17832799999999</v>
      </c>
      <c r="DX11" s="11">
        <f t="shared" si="3"/>
        <v>159.26734125098022</v>
      </c>
      <c r="DY11" s="20">
        <f>(DX11-'0. Current system'!$G11)/'0. Current system'!$G11</f>
        <v>-0.16703011970950191</v>
      </c>
      <c r="DZ11" s="25">
        <f>(DX11-'2. Diesel-battery-storage'!$BE11)/'2. Diesel-battery-storage'!$BE11</f>
        <v>0.50475906778189894</v>
      </c>
      <c r="EA11" s="26">
        <f>(DX11-'2''. Storage - some with diesel'!$G11)/'2''. Storage - some with diesel'!$G11</f>
        <v>0.35491692605911257</v>
      </c>
      <c r="EB11" s="23">
        <f>(DX11-'3. Battery and H2, no diesel'!$Z11)/'3. Battery and H2, no diesel'!$Z11</f>
        <v>0.39059122208911645</v>
      </c>
      <c r="EC11" s="19"/>
      <c r="ED11">
        <v>130708</v>
      </c>
      <c r="EE11" s="4" t="s">
        <v>89</v>
      </c>
      <c r="EF11" s="7">
        <v>36.716062999999998</v>
      </c>
      <c r="EG11" s="9">
        <f t="shared" si="22"/>
        <v>4799083.1626039995</v>
      </c>
    </row>
    <row r="12" spans="1:137">
      <c r="A12" s="1"/>
      <c r="B12" s="4" t="s">
        <v>27</v>
      </c>
      <c r="C12" s="9">
        <v>250</v>
      </c>
      <c r="D12" s="9">
        <f t="shared" si="4"/>
        <v>1500</v>
      </c>
      <c r="F12" s="4" t="s">
        <v>17</v>
      </c>
      <c r="G12" s="7">
        <v>93.693410999999998</v>
      </c>
      <c r="H12" s="20">
        <f>(G12-'0. Current system'!$G12)/'0. Current system'!$G12</f>
        <v>-0.4954694086140457</v>
      </c>
      <c r="I12" s="25">
        <f>(G12-'2. Diesel-battery-storage'!$BE12)/'2. Diesel-battery-storage'!$BE12</f>
        <v>2.8982828802874869E-2</v>
      </c>
      <c r="J12" s="26">
        <f>(G12-'2''. Storage - some with diesel'!$G12)/'2''. Storage - some with diesel'!$G12</f>
        <v>-2.1397146876485865E-2</v>
      </c>
      <c r="K12" s="23">
        <f>(G12-'3. Battery and H2, no diesel'!$Z12)/'3. Battery and H2, no diesel'!$Z12</f>
        <v>0.13038118132609749</v>
      </c>
      <c r="L12" s="30">
        <f>G12+0.5*(Q10+Q11)/L39/1000</f>
        <v>94.403395026868751</v>
      </c>
      <c r="N12">
        <v>35068</v>
      </c>
      <c r="O12" s="4" t="s">
        <v>90</v>
      </c>
      <c r="P12" s="7">
        <v>4.1396009999999999</v>
      </c>
      <c r="Q12" s="9">
        <f t="shared" si="12"/>
        <v>145167.527868</v>
      </c>
      <c r="R12" s="1"/>
      <c r="S12" s="4" t="s">
        <v>27</v>
      </c>
      <c r="T12" s="9">
        <v>250</v>
      </c>
      <c r="U12" s="9">
        <f t="shared" si="5"/>
        <v>1500</v>
      </c>
      <c r="W12" s="4" t="s">
        <v>17</v>
      </c>
      <c r="X12" s="7">
        <v>92.432940000000002</v>
      </c>
      <c r="Y12" s="20">
        <f>(X12-'0. Current system'!$G12)/'0. Current system'!$G12</f>
        <v>-0.50225693158142748</v>
      </c>
      <c r="Z12" s="25">
        <f>(X12-'2. Diesel-battery-storage'!$BE12)/'2. Diesel-battery-storage'!$BE12</f>
        <v>1.513977408471562E-2</v>
      </c>
      <c r="AA12" s="26">
        <f>(X12-'2''. Storage - some with diesel'!$G12)/'2''. Storage - some with diesel'!$G12</f>
        <v>-3.4562432500247015E-2</v>
      </c>
      <c r="AB12" s="23">
        <f>(X12-'3. Battery and H2, no diesel'!$Z12)/'3. Battery and H2, no diesel'!$Z12</f>
        <v>0.11517399991600577</v>
      </c>
      <c r="AC12" s="30">
        <f>X12+0.5*(AH10+AH11)/AC39/1000</f>
        <v>93.200752751035509</v>
      </c>
      <c r="AE12">
        <f t="shared" si="13"/>
        <v>70136</v>
      </c>
      <c r="AF12" s="4" t="s">
        <v>90</v>
      </c>
      <c r="AG12" s="7">
        <v>3.9656250000000002</v>
      </c>
      <c r="AH12" s="9">
        <f t="shared" si="14"/>
        <v>278133.07500000001</v>
      </c>
      <c r="AI12" s="1"/>
      <c r="AJ12" s="4" t="s">
        <v>27</v>
      </c>
      <c r="AK12" s="9">
        <v>250</v>
      </c>
      <c r="AL12" s="9">
        <f t="shared" si="6"/>
        <v>1500</v>
      </c>
      <c r="AN12" s="4" t="s">
        <v>17</v>
      </c>
      <c r="AO12" s="7">
        <v>97.711853000000005</v>
      </c>
      <c r="AP12" s="20">
        <f>(AO12-'0. Current system'!$G12)/'0. Current system'!$G12</f>
        <v>-0.47383045986544953</v>
      </c>
      <c r="AQ12" s="25">
        <f>(AO12-'2. Diesel-battery-storage'!$BE12)/'2. Diesel-battery-storage'!$BE12</f>
        <v>7.3115151155193653E-2</v>
      </c>
      <c r="AR12" s="26">
        <f>(AO12-'2''. Storage - some with diesel'!$G12)/'2''. Storage - some with diesel'!$G12</f>
        <v>2.0574415097187694E-2</v>
      </c>
      <c r="AS12" s="23">
        <f>(AO12-'3. Battery and H2, no diesel'!$Z12)/'3. Battery and H2, no diesel'!$Z12</f>
        <v>0.1788624049956084</v>
      </c>
      <c r="AT12" s="30">
        <f>AO12+0.5*(AY10+AY11)/AT39/1000</f>
        <v>98.406499701418909</v>
      </c>
      <c r="AV12">
        <f t="shared" si="15"/>
        <v>35068</v>
      </c>
      <c r="AW12" s="4" t="s">
        <v>90</v>
      </c>
      <c r="AX12" s="7">
        <v>4.0081220000000002</v>
      </c>
      <c r="AY12" s="9">
        <f t="shared" si="16"/>
        <v>140556.822296</v>
      </c>
      <c r="AZ12" s="1"/>
      <c r="BA12" s="4" t="s">
        <v>27</v>
      </c>
      <c r="BB12" s="9">
        <v>250</v>
      </c>
      <c r="BC12" s="9">
        <f t="shared" si="7"/>
        <v>1500</v>
      </c>
      <c r="BE12" s="4" t="s">
        <v>17</v>
      </c>
      <c r="BF12" s="7">
        <v>96.318427</v>
      </c>
      <c r="BG12" s="20">
        <f>(BF12-'0. Current system'!$G12)/'0. Current system'!$G12</f>
        <v>-0.48133393354976833</v>
      </c>
      <c r="BH12" s="25">
        <f>(BF12-'2. Diesel-battery-storage'!$BE12)/'2. Diesel-battery-storage'!$BE12</f>
        <v>5.7811925326351959E-2</v>
      </c>
      <c r="BI12" s="26">
        <f>(BF12-'2''. Storage - some with diesel'!$G12)/'2''. Storage - some with diesel'!$G12</f>
        <v>6.0204497258502044E-3</v>
      </c>
      <c r="BJ12" s="23">
        <f>(BF12-'3. Battery and H2, no diesel'!$Z12)/'3. Battery and H2, no diesel'!$Z12</f>
        <v>0.16205116382977547</v>
      </c>
      <c r="BK12" s="30">
        <f>BF12+0.5*(BP10+BP11)/BK39/1000</f>
        <v>97.117333555316122</v>
      </c>
      <c r="BM12">
        <f t="shared" si="17"/>
        <v>70136</v>
      </c>
      <c r="BN12" s="4" t="s">
        <v>90</v>
      </c>
      <c r="BO12" s="7">
        <v>3.9640550000000001</v>
      </c>
      <c r="BP12" s="9">
        <f t="shared" si="18"/>
        <v>278022.96148</v>
      </c>
      <c r="BQ12" s="1"/>
      <c r="BR12" s="4" t="s">
        <v>27</v>
      </c>
      <c r="BS12" s="9">
        <v>250</v>
      </c>
      <c r="BT12" s="9">
        <f t="shared" si="8"/>
        <v>1500</v>
      </c>
      <c r="BV12" s="4" t="s">
        <v>17</v>
      </c>
      <c r="BW12" s="7">
        <v>129.549261</v>
      </c>
      <c r="BX12" s="11">
        <f t="shared" si="0"/>
        <v>135.0848230400089</v>
      </c>
      <c r="BY12" s="20">
        <f>(BX12-'0. Current system'!$G12)/'0. Current system'!$G12</f>
        <v>-0.27258037755032022</v>
      </c>
      <c r="BZ12" s="25">
        <f>(BX12-'2. Diesel-battery-storage'!$BE12)/'2. Diesel-battery-storage'!$BE12</f>
        <v>0.48356177725287564</v>
      </c>
      <c r="CA12" s="26">
        <f>(BX12-'2''. Storage - some with diesel'!$G12)/'2''. Storage - some with diesel'!$G12</f>
        <v>0.41092518491655439</v>
      </c>
      <c r="CB12" s="23">
        <f>(BX12-'3. Battery and H2, no diesel'!$Z12)/'3. Battery and H2, no diesel'!$Z12</f>
        <v>0.62975539280123016</v>
      </c>
      <c r="CC12" s="19"/>
      <c r="CD12">
        <v>35068</v>
      </c>
      <c r="CE12" s="4" t="s">
        <v>90</v>
      </c>
      <c r="CF12" s="7">
        <v>25</v>
      </c>
      <c r="CG12" s="9">
        <f t="shared" si="19"/>
        <v>876700</v>
      </c>
      <c r="CH12" s="9"/>
      <c r="CI12" s="1"/>
      <c r="CJ12" s="4" t="s">
        <v>27</v>
      </c>
      <c r="CK12" s="9">
        <v>250</v>
      </c>
      <c r="CL12" s="9">
        <f t="shared" si="9"/>
        <v>1500</v>
      </c>
      <c r="CN12" s="4" t="s">
        <v>17</v>
      </c>
      <c r="CO12" s="7">
        <v>124.346518</v>
      </c>
      <c r="CP12" s="11">
        <f t="shared" si="1"/>
        <v>109.56259353816513</v>
      </c>
      <c r="CQ12" s="20">
        <f>(CP12-'0. Current system'!$G12)/'0. Current system'!$G12</f>
        <v>-0.41001528793108633</v>
      </c>
      <c r="CR12" s="25">
        <f>(CP12-'2. Diesel-battery-storage'!$BE12)/'2. Diesel-battery-storage'!$BE12</f>
        <v>0.20326526942092801</v>
      </c>
      <c r="CS12" s="26">
        <f>(CP12-'2''. Storage - some with diesel'!$G12)/'2''. Storage - some with diesel'!$G12</f>
        <v>0.14435226007579438</v>
      </c>
      <c r="CT12" s="23">
        <f>(CP12-'3. Battery and H2, no diesel'!$Z12)/'3. Battery and H2, no diesel'!$Z12</f>
        <v>0.32183781752616691</v>
      </c>
      <c r="CU12" s="19"/>
      <c r="CV12">
        <v>35068</v>
      </c>
      <c r="CW12" s="4" t="s">
        <v>90</v>
      </c>
      <c r="CX12" s="7">
        <v>19.743977000000001</v>
      </c>
      <c r="CY12" s="9">
        <f t="shared" si="20"/>
        <v>692381.78543600009</v>
      </c>
      <c r="CZ12" s="1"/>
      <c r="DA12" s="4" t="s">
        <v>27</v>
      </c>
      <c r="DB12" s="9">
        <v>250</v>
      </c>
      <c r="DC12" s="9">
        <f t="shared" si="10"/>
        <v>1500</v>
      </c>
      <c r="DE12" s="4" t="s">
        <v>17</v>
      </c>
      <c r="DF12" s="7">
        <v>116.42786</v>
      </c>
      <c r="DG12" s="11">
        <f t="shared" si="2"/>
        <v>107.35386539297998</v>
      </c>
      <c r="DH12" s="20">
        <f>(DG12-'0. Current system'!$G12)/'0. Current system'!$G12</f>
        <v>-0.42190909033839824</v>
      </c>
      <c r="DI12" s="25">
        <f>(DG12-'2. Diesel-battery-storage'!$BE12)/'2. Diesel-battery-storage'!$BE12</f>
        <v>0.17900803179202857</v>
      </c>
      <c r="DJ12" s="26">
        <f>(DG12-'2''. Storage - some with diesel'!$G12)/'2''. Storage - some with diesel'!$G12</f>
        <v>0.12128267981841222</v>
      </c>
      <c r="DK12" s="23">
        <f>(DG12-'3. Battery and H2, no diesel'!$Z12)/'3. Battery and H2, no diesel'!$Z12</f>
        <v>0.29519021548740043</v>
      </c>
      <c r="DL12" s="19"/>
      <c r="DM12">
        <v>70136</v>
      </c>
      <c r="DN12" s="4" t="s">
        <v>90</v>
      </c>
      <c r="DO12" s="7">
        <v>14.461767</v>
      </c>
      <c r="DP12" s="9">
        <f t="shared" si="21"/>
        <v>1014290.490312</v>
      </c>
      <c r="DQ12" s="1"/>
      <c r="DR12" s="4" t="s">
        <v>27</v>
      </c>
      <c r="DS12" s="9">
        <v>250</v>
      </c>
      <c r="DT12" s="9">
        <f t="shared" si="11"/>
        <v>1500</v>
      </c>
      <c r="DV12" s="4" t="s">
        <v>17</v>
      </c>
      <c r="DW12" s="7">
        <v>122.424735</v>
      </c>
      <c r="DX12" s="11">
        <f t="shared" si="3"/>
        <v>127.05047517794955</v>
      </c>
      <c r="DY12" s="20">
        <f>(DX12-'0. Current system'!$G12)/'0. Current system'!$G12</f>
        <v>-0.31584461817280413</v>
      </c>
      <c r="DZ12" s="25">
        <f>(DX12-'2. Diesel-battery-storage'!$BE12)/'2. Diesel-battery-storage'!$BE12</f>
        <v>0.39532498554627249</v>
      </c>
      <c r="EA12" s="26">
        <f>(DX12-'2''. Storage - some with diesel'!$G12)/'2''. Storage - some with diesel'!$G12</f>
        <v>0.32700855025802877</v>
      </c>
      <c r="EB12" s="23">
        <f>(DX12-'3. Battery and H2, no diesel'!$Z12)/'3. Battery and H2, no diesel'!$Z12</f>
        <v>0.53282354315921576</v>
      </c>
      <c r="EC12" s="19"/>
      <c r="ED12">
        <v>70136</v>
      </c>
      <c r="EE12" s="4" t="s">
        <v>90</v>
      </c>
      <c r="EF12" s="7">
        <v>14.486138</v>
      </c>
      <c r="EG12" s="9">
        <f t="shared" si="22"/>
        <v>1015999.774768</v>
      </c>
    </row>
    <row r="13" spans="1:137">
      <c r="A13" s="1"/>
      <c r="B13" s="4" t="s">
        <v>22</v>
      </c>
      <c r="C13" s="7">
        <v>45</v>
      </c>
      <c r="D13" s="9">
        <f t="shared" si="4"/>
        <v>270</v>
      </c>
      <c r="F13" s="4" t="s">
        <v>18</v>
      </c>
      <c r="G13" s="7">
        <v>165.41828100000001</v>
      </c>
      <c r="H13" s="20">
        <f>(G13-'0. Current system'!$G13)/'0. Current system'!$G13</f>
        <v>-0.16406915715297796</v>
      </c>
      <c r="I13" s="25">
        <f>(G13-'2. Diesel-battery-storage'!$BE13)/'2. Diesel-battery-storage'!$BE13</f>
        <v>0.66774292755018361</v>
      </c>
      <c r="J13" s="26">
        <f>(G13-'2''. Storage - some with diesel'!$G13)/'2''. Storage - some with diesel'!$G13</f>
        <v>0.4036133959498604</v>
      </c>
      <c r="K13" s="23">
        <f>(G13-'3. Battery and H2, no diesel'!$Z13)/'3. Battery and H2, no diesel'!$Z13</f>
        <v>0.44385174314788922</v>
      </c>
      <c r="L13" s="30">
        <f>G13+0.5*(Q6)/L40/1000</f>
        <v>165.4692776101555</v>
      </c>
      <c r="N13">
        <v>89264</v>
      </c>
      <c r="O13" s="4" t="s">
        <v>91</v>
      </c>
      <c r="P13" s="7">
        <v>12.217635</v>
      </c>
      <c r="Q13" s="9">
        <f t="shared" si="12"/>
        <v>1090594.97064</v>
      </c>
      <c r="R13" s="1"/>
      <c r="S13" s="4" t="s">
        <v>22</v>
      </c>
      <c r="T13" s="7">
        <v>45</v>
      </c>
      <c r="U13" s="9">
        <f t="shared" si="5"/>
        <v>270</v>
      </c>
      <c r="W13" s="4" t="s">
        <v>18</v>
      </c>
      <c r="X13" s="7">
        <v>165.50012799999999</v>
      </c>
      <c r="Y13" s="20">
        <f>(X13-'0. Current system'!$G13)/'0. Current system'!$G13</f>
        <v>-0.16365554850415828</v>
      </c>
      <c r="Z13" s="25">
        <f>(X13-'2. Diesel-battery-storage'!$BE13)/'2. Diesel-battery-storage'!$BE13</f>
        <v>0.66856810693523094</v>
      </c>
      <c r="AA13" s="26">
        <f>(X13-'2''. Storage - some with diesel'!$G13)/'2''. Storage - some with diesel'!$G13</f>
        <v>0.40430788718096128</v>
      </c>
      <c r="AB13" s="23">
        <f>(X13-'3. Battery and H2, no diesel'!$Z13)/'3. Battery and H2, no diesel'!$Z13</f>
        <v>0.44456614383508652</v>
      </c>
      <c r="AC13" s="30">
        <f>X13+0.5*(AH6)/AC40/1000</f>
        <v>165.5488259611073</v>
      </c>
      <c r="AE13">
        <f t="shared" si="13"/>
        <v>178528</v>
      </c>
      <c r="AF13" s="4" t="s">
        <v>91</v>
      </c>
      <c r="AG13" s="7">
        <v>6.9854089999999998</v>
      </c>
      <c r="AH13" s="9">
        <f t="shared" si="14"/>
        <v>1247091.0979519999</v>
      </c>
      <c r="AI13" s="1"/>
      <c r="AJ13" s="4" t="s">
        <v>22</v>
      </c>
      <c r="AK13" s="7">
        <v>31.505970000000001</v>
      </c>
      <c r="AL13" s="9">
        <f t="shared" si="6"/>
        <v>189.03582</v>
      </c>
      <c r="AN13" s="4" t="s">
        <v>18</v>
      </c>
      <c r="AO13" s="7">
        <v>165.50290699999999</v>
      </c>
      <c r="AP13" s="20">
        <f>(AO13-'0. Current system'!$G13)/'0. Current system'!$G13</f>
        <v>-0.16364150500305166</v>
      </c>
      <c r="AQ13" s="25">
        <f>(AO13-'2. Diesel-battery-storage'!$BE13)/'2. Diesel-battery-storage'!$BE13</f>
        <v>0.66859612474298258</v>
      </c>
      <c r="AR13" s="26">
        <f>(AO13-'2''. Storage - some with diesel'!$G13)/'2''. Storage - some with diesel'!$G13</f>
        <v>0.40433146765588684</v>
      </c>
      <c r="AS13" s="23">
        <f>(AO13-'3. Battery and H2, no diesel'!$Z13)/'3. Battery and H2, no diesel'!$Z13</f>
        <v>0.44459040030764785</v>
      </c>
      <c r="AT13" s="30">
        <f>AO13+0.5*(AY6)/AT40/1000</f>
        <v>165.55145849779942</v>
      </c>
      <c r="AV13">
        <f t="shared" si="15"/>
        <v>89264</v>
      </c>
      <c r="AW13" s="4" t="s">
        <v>91</v>
      </c>
      <c r="AX13" s="7">
        <v>11.896599999999999</v>
      </c>
      <c r="AY13" s="9">
        <f t="shared" si="16"/>
        <v>1061938.1024</v>
      </c>
      <c r="AZ13" s="1"/>
      <c r="BA13" s="4" t="s">
        <v>22</v>
      </c>
      <c r="BB13" s="7">
        <v>22.722646999999998</v>
      </c>
      <c r="BC13" s="9">
        <f t="shared" si="7"/>
        <v>136.335882</v>
      </c>
      <c r="BE13" s="4" t="s">
        <v>18</v>
      </c>
      <c r="BF13" s="7">
        <v>162.09547499999999</v>
      </c>
      <c r="BG13" s="20">
        <f>(BF13-'0. Current system'!$G13)/'0. Current system'!$G13</f>
        <v>-0.18086074755886034</v>
      </c>
      <c r="BH13" s="25">
        <f>(BF13-'2. Diesel-battery-storage'!$BE13)/'2. Diesel-battery-storage'!$BE13</f>
        <v>0.63424248145304796</v>
      </c>
      <c r="BI13" s="26">
        <f>(BF13-'2''. Storage - some with diesel'!$G13)/'2''. Storage - some with diesel'!$G13</f>
        <v>0.37541859797742472</v>
      </c>
      <c r="BJ13" s="23">
        <f>(BF13-'3. Battery and H2, no diesel'!$Z13)/'3. Battery and H2, no diesel'!$Z13</f>
        <v>0.41484866557847422</v>
      </c>
      <c r="BK13" s="30">
        <f>BF13+0.5*(BP6)/BK40/1000</f>
        <v>162.11166557391937</v>
      </c>
      <c r="BM13">
        <f t="shared" si="17"/>
        <v>178528</v>
      </c>
      <c r="BN13" s="4" t="s">
        <v>91</v>
      </c>
      <c r="BO13" s="7">
        <v>6.9816940000000001</v>
      </c>
      <c r="BP13" s="9">
        <f t="shared" si="18"/>
        <v>1246427.866432</v>
      </c>
      <c r="BQ13" s="1"/>
      <c r="BR13" s="4" t="s">
        <v>22</v>
      </c>
      <c r="BS13" s="7">
        <v>45</v>
      </c>
      <c r="BT13" s="9">
        <f t="shared" si="8"/>
        <v>270</v>
      </c>
      <c r="BV13" s="4" t="s">
        <v>18</v>
      </c>
      <c r="BW13" s="7">
        <v>153.37493900000001</v>
      </c>
      <c r="BX13" s="11">
        <f t="shared" si="0"/>
        <v>147.75647863034854</v>
      </c>
      <c r="BY13" s="20">
        <f>(BX13-'0. Current system'!$G13)/'0. Current system'!$G13</f>
        <v>-0.25332196072346291</v>
      </c>
      <c r="BZ13" s="25">
        <f>(BX13-'2. Diesel-battery-storage'!$BE13)/'2. Diesel-battery-storage'!$BE13</f>
        <v>0.48967708251957714</v>
      </c>
      <c r="CA13" s="26">
        <f>(BX13-'2''. Storage - some with diesel'!$G13)/'2''. Storage - some with diesel'!$G13</f>
        <v>0.25374880871804295</v>
      </c>
      <c r="CB13" s="23">
        <f>(BX13-'3. Battery and H2, no diesel'!$Z13)/'3. Battery and H2, no diesel'!$Z13</f>
        <v>0.28969088508314611</v>
      </c>
      <c r="CC13" s="19"/>
      <c r="CD13">
        <v>89264</v>
      </c>
      <c r="CE13" s="4" t="s">
        <v>91</v>
      </c>
      <c r="CF13" s="7">
        <v>25</v>
      </c>
      <c r="CG13" s="9">
        <f t="shared" si="19"/>
        <v>2231600</v>
      </c>
      <c r="CH13" s="9"/>
      <c r="CI13" s="1"/>
      <c r="CJ13" s="4" t="s">
        <v>22</v>
      </c>
      <c r="CK13" s="7">
        <v>45</v>
      </c>
      <c r="CL13" s="9">
        <f t="shared" si="9"/>
        <v>270</v>
      </c>
      <c r="CN13" s="4" t="s">
        <v>18</v>
      </c>
      <c r="CO13" s="7">
        <v>163.80290199999999</v>
      </c>
      <c r="CP13" s="11">
        <f t="shared" si="1"/>
        <v>163.79369866578946</v>
      </c>
      <c r="CQ13" s="20">
        <f>(CP13-'0. Current system'!$G13)/'0. Current system'!$G13</f>
        <v>-0.1722788814452465</v>
      </c>
      <c r="CR13" s="25">
        <f>(CP13-'2. Diesel-battery-storage'!$BE13)/'2. Diesel-battery-storage'!$BE13</f>
        <v>0.65136392952334154</v>
      </c>
      <c r="CS13" s="26">
        <f>(CP13-'2''. Storage - some with diesel'!$G13)/'2''. Storage - some with diesel'!$G13</f>
        <v>0.38982842905662196</v>
      </c>
      <c r="CT13" s="23">
        <f>(CP13-'3. Battery and H2, no diesel'!$Z13)/'3. Battery and H2, no diesel'!$Z13</f>
        <v>0.4296715931610981</v>
      </c>
      <c r="CU13" s="19"/>
      <c r="CV13">
        <v>89264</v>
      </c>
      <c r="CW13" s="4" t="s">
        <v>91</v>
      </c>
      <c r="CX13" s="7">
        <v>13.906347</v>
      </c>
      <c r="CY13" s="9">
        <f t="shared" si="20"/>
        <v>1241336.158608</v>
      </c>
      <c r="CZ13" s="1"/>
      <c r="DA13" s="4" t="s">
        <v>22</v>
      </c>
      <c r="DB13" s="7">
        <v>45</v>
      </c>
      <c r="DC13" s="9">
        <f t="shared" si="10"/>
        <v>270</v>
      </c>
      <c r="DE13" s="4" t="s">
        <v>18</v>
      </c>
      <c r="DF13" s="7">
        <v>169.977057</v>
      </c>
      <c r="DG13" s="11">
        <f t="shared" si="2"/>
        <v>169.977057</v>
      </c>
      <c r="DH13" s="20">
        <f>(DG13-'0. Current system'!$G13)/'0. Current system'!$G13</f>
        <v>-0.1410316703589351</v>
      </c>
      <c r="DI13" s="25">
        <f>(DG13-'2. Diesel-battery-storage'!$BE13)/'2. Diesel-battery-storage'!$BE13</f>
        <v>0.71370439194410695</v>
      </c>
      <c r="DJ13" s="26">
        <f>(DG13-'2''. Storage - some with diesel'!$G13)/'2''. Storage - some with diesel'!$G13</f>
        <v>0.44229569287649034</v>
      </c>
      <c r="DK13" s="23">
        <f>(DG13-'3. Battery and H2, no diesel'!$Z13)/'3. Battery and H2, no diesel'!$Z13</f>
        <v>0.48364297199169975</v>
      </c>
      <c r="DL13" s="19"/>
      <c r="DM13">
        <v>178528</v>
      </c>
      <c r="DN13" s="4" t="s">
        <v>91</v>
      </c>
      <c r="DO13" s="7">
        <v>13.906347</v>
      </c>
      <c r="DP13" s="9">
        <f t="shared" si="21"/>
        <v>2482672.3172160001</v>
      </c>
      <c r="DQ13" s="1"/>
      <c r="DR13" s="4" t="s">
        <v>22</v>
      </c>
      <c r="DS13" s="7">
        <v>45</v>
      </c>
      <c r="DT13" s="9">
        <f t="shared" si="11"/>
        <v>270</v>
      </c>
      <c r="DV13" s="4" t="s">
        <v>18</v>
      </c>
      <c r="DW13" s="7">
        <v>152.47057000000001</v>
      </c>
      <c r="DX13" s="11">
        <f t="shared" si="3"/>
        <v>153.54464738505879</v>
      </c>
      <c r="DY13" s="20">
        <f>(DX13-'0. Current system'!$G13)/'0. Current system'!$G13</f>
        <v>-0.2240718152352158</v>
      </c>
      <c r="DZ13" s="25">
        <f>(DX13-'2. Diesel-battery-storage'!$BE13)/'2. Diesel-battery-storage'!$BE13</f>
        <v>0.5480332535895388</v>
      </c>
      <c r="EA13" s="26">
        <f>(DX13-'2''. Storage - some with diesel'!$G13)/'2''. Storage - some with diesel'!$G13</f>
        <v>0.30286279511069403</v>
      </c>
      <c r="EB13" s="23">
        <f>(DX13-'3. Battery and H2, no diesel'!$Z13)/'3. Battery and H2, no diesel'!$Z13</f>
        <v>0.34021285578433208</v>
      </c>
      <c r="EC13" s="19"/>
      <c r="ED13">
        <v>178528</v>
      </c>
      <c r="EE13" s="4" t="s">
        <v>91</v>
      </c>
      <c r="EF13" s="7">
        <v>15.175971000000001</v>
      </c>
      <c r="EG13" s="9">
        <f t="shared" si="22"/>
        <v>2709335.7506880001</v>
      </c>
    </row>
    <row r="14" spans="1:137">
      <c r="A14" s="1"/>
      <c r="B14" s="4" t="s">
        <v>30</v>
      </c>
      <c r="C14" s="9">
        <v>30</v>
      </c>
      <c r="D14" s="9">
        <f t="shared" si="4"/>
        <v>180</v>
      </c>
      <c r="F14" s="4" t="s">
        <v>19</v>
      </c>
      <c r="G14" s="7">
        <v>97.565798000000001</v>
      </c>
      <c r="H14" s="20">
        <f>(G14-'0. Current system'!$G14)/'0. Current system'!$G14</f>
        <v>-0.37937804055121471</v>
      </c>
      <c r="I14" s="25">
        <f>(G14-'2. Diesel-battery-storage'!$BE14)/'2. Diesel-battery-storage'!$BE14</f>
        <v>0.88908789351722783</v>
      </c>
      <c r="J14" s="26">
        <f>(G14-'2''. Storage - some with diesel'!$G14)/'2''. Storage - some with diesel'!$G14</f>
        <v>0.57835001950495624</v>
      </c>
      <c r="K14" s="23">
        <f>(G14-'3. Battery and H2, no diesel'!$Z14)/'3. Battery and H2, no diesel'!$Z14</f>
        <v>0.63362831330901315</v>
      </c>
      <c r="L14" s="30">
        <f>G14+0.5*(Q13+Q14+Q12)/L41/1000</f>
        <v>106.28153188811926</v>
      </c>
      <c r="N14">
        <v>135490</v>
      </c>
      <c r="O14" s="4" t="s">
        <v>92</v>
      </c>
      <c r="P14" s="7">
        <v>16.004080999999999</v>
      </c>
      <c r="Q14" s="9">
        <f t="shared" si="12"/>
        <v>2168392.93469</v>
      </c>
      <c r="R14" s="1"/>
      <c r="S14" s="4" t="s">
        <v>30</v>
      </c>
      <c r="T14" s="9">
        <v>30</v>
      </c>
      <c r="U14" s="9">
        <f t="shared" si="5"/>
        <v>180</v>
      </c>
      <c r="W14" s="4" t="s">
        <v>19</v>
      </c>
      <c r="X14" s="7">
        <v>99.108599999999996</v>
      </c>
      <c r="Y14" s="20">
        <f>(X14-'0. Current system'!$G14)/'0. Current system'!$G14</f>
        <v>-0.36956418344237923</v>
      </c>
      <c r="Z14" s="25">
        <f>(X14-'2. Diesel-battery-storage'!$BE14)/'2. Diesel-battery-storage'!$BE14</f>
        <v>0.91895992490566747</v>
      </c>
      <c r="AA14" s="26">
        <f>(X14-'2''. Storage - some with diesel'!$G14)/'2''. Storage - some with diesel'!$G14</f>
        <v>0.60330837188569808</v>
      </c>
      <c r="AB14" s="23">
        <f>(X14-'3. Battery and H2, no diesel'!$Z14)/'3. Battery and H2, no diesel'!$Z14</f>
        <v>0.65946077797075631</v>
      </c>
      <c r="AC14" s="30">
        <f>X14+0.5*(AH13+AH14+AH12)/AC41/1000</f>
        <v>116.1888767894656</v>
      </c>
      <c r="AE14">
        <f t="shared" si="13"/>
        <v>270980</v>
      </c>
      <c r="AF14" s="4" t="s">
        <v>92</v>
      </c>
      <c r="AG14" s="7">
        <v>16.395973000000001</v>
      </c>
      <c r="AH14" s="9">
        <f t="shared" si="14"/>
        <v>4442980.7635400007</v>
      </c>
      <c r="AI14" s="1"/>
      <c r="AJ14" s="4" t="s">
        <v>30</v>
      </c>
      <c r="AK14" s="9">
        <v>30</v>
      </c>
      <c r="AL14" s="9">
        <f t="shared" si="6"/>
        <v>180</v>
      </c>
      <c r="AN14" s="4" t="s">
        <v>19</v>
      </c>
      <c r="AO14" s="7">
        <v>105.513721</v>
      </c>
      <c r="AP14" s="20">
        <f>(AO14-'0. Current system'!$G14)/'0. Current system'!$G14</f>
        <v>-0.32882082022480408</v>
      </c>
      <c r="AQ14" s="25">
        <f>(AO14-'2. Diesel-battery-storage'!$BE14)/'2. Diesel-battery-storage'!$BE14</f>
        <v>1.0429771193082897</v>
      </c>
      <c r="AR14" s="26">
        <f>(AO14-'2''. Storage - some with diesel'!$G14)/'2''. Storage - some with diesel'!$G14</f>
        <v>0.70692585939173591</v>
      </c>
      <c r="AS14" s="23">
        <f>(AO14-'3. Battery and H2, no diesel'!$Z14)/'3. Battery and H2, no diesel'!$Z14</f>
        <v>0.76670724374322041</v>
      </c>
      <c r="AT14" s="30">
        <f>AO14+0.5*(AY13+AY14+AY12)/AT41/1000</f>
        <v>114.32782706808321</v>
      </c>
      <c r="AV14">
        <f t="shared" si="15"/>
        <v>135490</v>
      </c>
      <c r="AW14" s="4" t="s">
        <v>92</v>
      </c>
      <c r="AX14" s="7">
        <v>16.488122000000001</v>
      </c>
      <c r="AY14" s="9">
        <f t="shared" si="16"/>
        <v>2233975.6497800001</v>
      </c>
      <c r="AZ14" s="1"/>
      <c r="BA14" s="4" t="s">
        <v>30</v>
      </c>
      <c r="BB14" s="9">
        <v>30</v>
      </c>
      <c r="BC14" s="9">
        <f t="shared" si="7"/>
        <v>180</v>
      </c>
      <c r="BE14" s="4" t="s">
        <v>19</v>
      </c>
      <c r="BF14" s="7">
        <v>104.346822</v>
      </c>
      <c r="BG14" s="20">
        <f>(BF14-'0. Current system'!$G14)/'0. Current system'!$G14</f>
        <v>-0.33624353554825004</v>
      </c>
      <c r="BH14" s="25">
        <f>(BF14-'2. Diesel-battery-storage'!$BE14)/'2. Diesel-battery-storage'!$BE14</f>
        <v>1.0203833946727636</v>
      </c>
      <c r="BI14" s="26">
        <f>(BF14-'2''. Storage - some with diesel'!$G14)/'2''. Storage - some with diesel'!$G14</f>
        <v>0.68804859812636598</v>
      </c>
      <c r="BJ14" s="23">
        <f>(BF14-'3. Battery and H2, no diesel'!$Z14)/'3. Battery and H2, no diesel'!$Z14</f>
        <v>0.74716884725337696</v>
      </c>
      <c r="BK14" s="30">
        <f>BF14+0.5*(BP13+BP14+BP12)/BK41/1000</f>
        <v>121.41919162237377</v>
      </c>
      <c r="BM14">
        <f t="shared" si="17"/>
        <v>270980</v>
      </c>
      <c r="BN14" s="4" t="s">
        <v>92</v>
      </c>
      <c r="BO14" s="7">
        <v>16.393685999999999</v>
      </c>
      <c r="BP14" s="9">
        <f t="shared" si="18"/>
        <v>4442361.0322799999</v>
      </c>
      <c r="BQ14" s="1"/>
      <c r="BR14" s="4" t="s">
        <v>30</v>
      </c>
      <c r="BS14" s="9">
        <v>30</v>
      </c>
      <c r="BT14" s="9">
        <f t="shared" si="8"/>
        <v>180</v>
      </c>
      <c r="BV14" s="4" t="s">
        <v>19</v>
      </c>
      <c r="BW14" s="7">
        <v>115.539614</v>
      </c>
      <c r="BX14" s="11">
        <f t="shared" si="0"/>
        <v>97.39780154237377</v>
      </c>
      <c r="BY14" s="20">
        <f>(BX14-'0. Current system'!$G14)/'0. Current system'!$G14</f>
        <v>-0.380446676208891</v>
      </c>
      <c r="BZ14" s="25">
        <f>(BX14-'2. Diesel-battery-storage'!$BE14)/'2. Diesel-battery-storage'!$BE14</f>
        <v>0.88583511353939692</v>
      </c>
      <c r="CA14" s="26">
        <f>(BX14-'2''. Storage - some with diesel'!$G14)/'2''. Storage - some with diesel'!$G14</f>
        <v>0.57563229241609337</v>
      </c>
      <c r="CB14" s="23">
        <f>(BX14-'3. Battery and H2, no diesel'!$Z14)/'3. Battery and H2, no diesel'!$Z14</f>
        <v>0.63081540371016143</v>
      </c>
      <c r="CC14" s="19"/>
      <c r="CD14">
        <v>135490</v>
      </c>
      <c r="CE14" s="4" t="s">
        <v>92</v>
      </c>
      <c r="CF14" s="7">
        <v>16.64432</v>
      </c>
      <c r="CG14" s="9">
        <f t="shared" si="19"/>
        <v>2255138.9168000002</v>
      </c>
      <c r="CH14" s="9"/>
      <c r="CI14" s="1"/>
      <c r="CJ14" s="4" t="s">
        <v>30</v>
      </c>
      <c r="CK14" s="9">
        <v>30</v>
      </c>
      <c r="CL14" s="9">
        <f t="shared" si="9"/>
        <v>180</v>
      </c>
      <c r="CN14" s="4" t="s">
        <v>19</v>
      </c>
      <c r="CO14" s="7">
        <v>50.143495000000001</v>
      </c>
      <c r="CP14" s="11">
        <f t="shared" si="1"/>
        <v>26.172181660152678</v>
      </c>
      <c r="CQ14" s="20">
        <f>(CP14-'0. Current system'!$G14)/'0. Current system'!$G14</f>
        <v>-0.83351716484732152</v>
      </c>
      <c r="CR14" s="25">
        <f>(CP14-'2. Diesel-battery-storage'!$BE14)/'2. Diesel-battery-storage'!$BE14</f>
        <v>-0.49324914534980746</v>
      </c>
      <c r="CS14" s="26">
        <f>(CP14-'2''. Storage - some with diesel'!$G14)/'2''. Storage - some with diesel'!$G14</f>
        <v>-0.57660507800295713</v>
      </c>
      <c r="CT14" s="23">
        <f>(CP14-'3. Battery and H2, no diesel'!$Z14)/'3. Battery and H2, no diesel'!$Z14</f>
        <v>-0.5617765871079915</v>
      </c>
      <c r="CU14" s="19"/>
      <c r="CV14">
        <v>135490</v>
      </c>
      <c r="CW14" s="4" t="s">
        <v>92</v>
      </c>
      <c r="CX14" s="7">
        <v>25</v>
      </c>
      <c r="CY14" s="9">
        <f t="shared" si="20"/>
        <v>3387250</v>
      </c>
      <c r="CZ14" s="1"/>
      <c r="DA14" s="4" t="s">
        <v>30</v>
      </c>
      <c r="DB14" s="9">
        <v>30</v>
      </c>
      <c r="DC14" s="9">
        <f t="shared" si="10"/>
        <v>180</v>
      </c>
      <c r="DE14" s="4" t="s">
        <v>19</v>
      </c>
      <c r="DF14" s="7">
        <v>52.620291000000002</v>
      </c>
      <c r="DG14" s="11">
        <f t="shared" si="2"/>
        <v>39.846189876098194</v>
      </c>
      <c r="DH14" s="20">
        <f>(DG14-'0. Current system'!$G14)/'0. Current system'!$G14</f>
        <v>-0.74653596911622233</v>
      </c>
      <c r="DI14" s="25">
        <f>(DG14-'2. Diesel-battery-storage'!$BE14)/'2. Diesel-battery-storage'!$BE14</f>
        <v>-0.22849034763467188</v>
      </c>
      <c r="DJ14" s="26">
        <f>(DG14-'2''. Storage - some with diesel'!$G14)/'2''. Storage - some with diesel'!$G14</f>
        <v>-0.35539670809500506</v>
      </c>
      <c r="DK14" s="23">
        <f>(DG14-'3. Battery and H2, no diesel'!$Z14)/'3. Battery and H2, no diesel'!$Z14</f>
        <v>-0.33282087275009048</v>
      </c>
      <c r="DL14" s="19"/>
      <c r="DM14">
        <v>270980</v>
      </c>
      <c r="DN14" s="4" t="s">
        <v>92</v>
      </c>
      <c r="DO14" s="7">
        <v>23.32582</v>
      </c>
      <c r="DP14" s="9">
        <f t="shared" si="21"/>
        <v>6320830.7035999997</v>
      </c>
      <c r="DQ14" s="1"/>
      <c r="DR14" s="4" t="s">
        <v>30</v>
      </c>
      <c r="DS14" s="9">
        <v>30</v>
      </c>
      <c r="DT14" s="9">
        <f t="shared" si="11"/>
        <v>180</v>
      </c>
      <c r="DV14" s="4" t="s">
        <v>19</v>
      </c>
      <c r="DW14" s="7">
        <v>123.973286</v>
      </c>
      <c r="DX14" s="11">
        <f t="shared" si="3"/>
        <v>110.76214177167077</v>
      </c>
      <c r="DY14" s="20">
        <f>(DX14-'0. Current system'!$G14)/'0. Current system'!$G14</f>
        <v>-0.29543529732541657</v>
      </c>
      <c r="DZ14" s="25">
        <f>(DX14-'2. Diesel-battery-storage'!$BE14)/'2. Diesel-battery-storage'!$BE14</f>
        <v>1.1445980596694558</v>
      </c>
      <c r="EA14" s="26">
        <f>(DX14-'2''. Storage - some with diesel'!$G14)/'2''. Storage - some with diesel'!$G14</f>
        <v>0.7918310740996275</v>
      </c>
      <c r="EB14" s="23">
        <f>(DX14-'3. Battery and H2, no diesel'!$Z14)/'3. Battery and H2, no diesel'!$Z14</f>
        <v>0.8545860798570859</v>
      </c>
      <c r="EC14" s="19"/>
      <c r="ED14">
        <v>270980</v>
      </c>
      <c r="EE14" s="4" t="s">
        <v>92</v>
      </c>
      <c r="EF14" s="7">
        <v>17.033583</v>
      </c>
      <c r="EG14" s="9">
        <f t="shared" si="22"/>
        <v>4615760.3213400003</v>
      </c>
    </row>
    <row r="15" spans="1:137">
      <c r="A15" s="1"/>
      <c r="N15">
        <v>119550</v>
      </c>
      <c r="O15" s="4" t="s">
        <v>93</v>
      </c>
      <c r="P15" s="7">
        <v>22.167669</v>
      </c>
      <c r="Q15" s="9">
        <f t="shared" si="12"/>
        <v>2650144.82895</v>
      </c>
      <c r="R15" s="1"/>
      <c r="AE15">
        <f t="shared" si="13"/>
        <v>239100</v>
      </c>
      <c r="AF15" s="4" t="s">
        <v>93</v>
      </c>
      <c r="AG15" s="7">
        <v>21.775777000000001</v>
      </c>
      <c r="AH15" s="9">
        <f t="shared" si="14"/>
        <v>5206588.2807</v>
      </c>
      <c r="AI15" s="1"/>
      <c r="AV15">
        <f t="shared" si="15"/>
        <v>119550</v>
      </c>
      <c r="AW15" s="4" t="s">
        <v>93</v>
      </c>
      <c r="AX15" s="7">
        <v>21.683627999999999</v>
      </c>
      <c r="AY15" s="9">
        <f t="shared" si="16"/>
        <v>2592277.7273999997</v>
      </c>
      <c r="AZ15" s="1"/>
      <c r="BM15">
        <f t="shared" si="17"/>
        <v>239100</v>
      </c>
      <c r="BN15" s="4" t="s">
        <v>93</v>
      </c>
      <c r="BO15" s="7">
        <v>21.778064000000001</v>
      </c>
      <c r="BP15" s="9">
        <f t="shared" si="18"/>
        <v>5207135.1024000002</v>
      </c>
      <c r="BQ15" s="1"/>
      <c r="CD15">
        <v>119550</v>
      </c>
      <c r="CE15" s="4" t="s">
        <v>93</v>
      </c>
      <c r="CF15" s="7">
        <v>42.079467999999999</v>
      </c>
      <c r="CG15" s="9">
        <f t="shared" si="19"/>
        <v>5030600.3993999995</v>
      </c>
      <c r="CH15" s="9"/>
      <c r="CI15" s="1"/>
      <c r="CV15">
        <v>119550</v>
      </c>
      <c r="CW15" s="4" t="s">
        <v>93</v>
      </c>
      <c r="CX15" s="7">
        <v>13.736302</v>
      </c>
      <c r="CY15" s="9">
        <f t="shared" si="20"/>
        <v>1642174.9040999999</v>
      </c>
      <c r="CZ15" s="1"/>
      <c r="DM15">
        <v>239100</v>
      </c>
      <c r="DN15" s="4" t="s">
        <v>93</v>
      </c>
      <c r="DO15" s="7">
        <v>14.845929999999999</v>
      </c>
      <c r="DP15" s="9">
        <f t="shared" si="21"/>
        <v>3549661.8629999999</v>
      </c>
      <c r="DQ15" s="1"/>
      <c r="ED15">
        <v>239100</v>
      </c>
      <c r="EE15" s="4" t="s">
        <v>93</v>
      </c>
      <c r="EF15" s="7">
        <v>36.058798000000003</v>
      </c>
      <c r="EG15" s="9">
        <f t="shared" si="22"/>
        <v>8621658.6018000003</v>
      </c>
    </row>
    <row r="16" spans="1:137">
      <c r="A16" s="1"/>
      <c r="B16" t="s">
        <v>20</v>
      </c>
      <c r="L16" s="4"/>
      <c r="M16" s="7"/>
      <c r="N16">
        <v>59775</v>
      </c>
      <c r="O16" s="4" t="s">
        <v>226</v>
      </c>
      <c r="P16" s="7">
        <v>28.536632999999998</v>
      </c>
      <c r="Q16" s="9">
        <f t="shared" si="12"/>
        <v>1705777.2375749999</v>
      </c>
      <c r="R16" s="1"/>
      <c r="S16" t="s">
        <v>20</v>
      </c>
      <c r="AC16" s="4"/>
      <c r="AD16" s="7"/>
      <c r="AE16">
        <f t="shared" si="13"/>
        <v>119550</v>
      </c>
      <c r="AF16" s="4" t="s">
        <v>226</v>
      </c>
      <c r="AG16" s="7">
        <v>28.415804999999999</v>
      </c>
      <c r="AH16" s="9">
        <f t="shared" si="14"/>
        <v>3397109.4877499999</v>
      </c>
      <c r="AI16" s="1"/>
      <c r="AJ16" t="s">
        <v>20</v>
      </c>
      <c r="AT16" s="4"/>
      <c r="AU16" s="7"/>
      <c r="AV16">
        <f t="shared" si="15"/>
        <v>59775</v>
      </c>
      <c r="AW16" s="4" t="s">
        <v>226</v>
      </c>
      <c r="AX16" s="7">
        <v>28.583062999999999</v>
      </c>
      <c r="AY16" s="9">
        <f t="shared" si="16"/>
        <v>1708552.5908249998</v>
      </c>
      <c r="AZ16" s="1"/>
      <c r="BA16" t="s">
        <v>20</v>
      </c>
      <c r="BK16" s="4"/>
      <c r="BL16" s="7"/>
      <c r="BM16">
        <f t="shared" si="17"/>
        <v>119550</v>
      </c>
      <c r="BN16" s="4" t="s">
        <v>226</v>
      </c>
      <c r="BO16" s="7">
        <v>26.618964999999999</v>
      </c>
      <c r="BP16" s="9">
        <f t="shared" si="18"/>
        <v>3182297.2657499998</v>
      </c>
      <c r="BQ16" s="1"/>
      <c r="BR16" t="s">
        <v>20</v>
      </c>
      <c r="CC16" s="4"/>
      <c r="CD16">
        <v>59775</v>
      </c>
      <c r="CE16" s="4" t="s">
        <v>226</v>
      </c>
      <c r="CF16" s="7">
        <v>29.679535999999999</v>
      </c>
      <c r="CG16" s="9">
        <f t="shared" si="19"/>
        <v>1774094.2644</v>
      </c>
      <c r="CH16" s="9"/>
      <c r="CI16" s="1"/>
      <c r="CJ16" t="s">
        <v>20</v>
      </c>
      <c r="CU16" s="4"/>
      <c r="CV16">
        <v>59775</v>
      </c>
      <c r="CW16" s="4" t="s">
        <v>226</v>
      </c>
      <c r="CX16" s="7">
        <v>13.539324000000001</v>
      </c>
      <c r="CY16" s="9">
        <f t="shared" si="20"/>
        <v>809313.09210000001</v>
      </c>
      <c r="CZ16" s="1"/>
      <c r="DA16" t="s">
        <v>20</v>
      </c>
      <c r="DL16" s="4"/>
      <c r="DM16">
        <v>119550</v>
      </c>
      <c r="DN16" s="4" t="s">
        <v>226</v>
      </c>
      <c r="DO16" s="7">
        <v>14.366921</v>
      </c>
      <c r="DP16" s="9">
        <f t="shared" si="21"/>
        <v>1717565.40555</v>
      </c>
      <c r="DQ16" s="1"/>
      <c r="DR16" t="s">
        <v>20</v>
      </c>
      <c r="EC16" s="4"/>
      <c r="ED16">
        <v>119550</v>
      </c>
      <c r="EE16" s="4" t="s">
        <v>226</v>
      </c>
      <c r="EF16" s="7">
        <v>30</v>
      </c>
      <c r="EG16" s="9">
        <f t="shared" si="22"/>
        <v>3586500</v>
      </c>
    </row>
    <row r="17" spans="1:136" ht="18.25" customHeight="1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/>
      <c r="K17" s="10"/>
      <c r="L17" s="4"/>
      <c r="M17" s="7"/>
      <c r="N17" s="7"/>
      <c r="O17" s="7"/>
      <c r="P17" s="7"/>
      <c r="R17" s="1"/>
      <c r="S17" s="2" t="s">
        <v>0</v>
      </c>
      <c r="T17" s="2" t="s">
        <v>1</v>
      </c>
      <c r="U17" s="2" t="s">
        <v>2</v>
      </c>
      <c r="V17" s="2" t="s">
        <v>3</v>
      </c>
      <c r="W17" s="2" t="s">
        <v>4</v>
      </c>
      <c r="X17" s="2" t="s">
        <v>5</v>
      </c>
      <c r="Y17" s="2" t="s">
        <v>6</v>
      </c>
      <c r="Z17" s="2" t="s">
        <v>7</v>
      </c>
      <c r="AA17" s="10"/>
      <c r="AB17" s="10"/>
      <c r="AC17" s="4"/>
      <c r="AD17" s="7"/>
      <c r="AE17" s="7"/>
      <c r="AF17" s="7"/>
      <c r="AG17" s="7"/>
      <c r="AI17" s="1"/>
      <c r="AJ17" s="2" t="s">
        <v>0</v>
      </c>
      <c r="AK17" s="2" t="s">
        <v>1</v>
      </c>
      <c r="AL17" s="2" t="s">
        <v>2</v>
      </c>
      <c r="AM17" s="2" t="s">
        <v>3</v>
      </c>
      <c r="AN17" s="2" t="s">
        <v>4</v>
      </c>
      <c r="AO17" s="2" t="s">
        <v>5</v>
      </c>
      <c r="AP17" s="2" t="s">
        <v>6</v>
      </c>
      <c r="AQ17" s="2" t="s">
        <v>7</v>
      </c>
      <c r="AR17" s="10"/>
      <c r="AS17" s="10"/>
      <c r="AT17" s="4"/>
      <c r="AU17" s="7"/>
      <c r="AV17" s="7"/>
      <c r="AW17" s="7"/>
      <c r="AX17" s="7"/>
      <c r="AZ17" s="1"/>
      <c r="BA17" s="2" t="s">
        <v>0</v>
      </c>
      <c r="BB17" s="2" t="s">
        <v>1</v>
      </c>
      <c r="BC17" s="2" t="s">
        <v>2</v>
      </c>
      <c r="BD17" s="2" t="s">
        <v>3</v>
      </c>
      <c r="BE17" s="2" t="s">
        <v>4</v>
      </c>
      <c r="BF17" s="2" t="s">
        <v>5</v>
      </c>
      <c r="BG17" s="2" t="s">
        <v>6</v>
      </c>
      <c r="BH17" s="2" t="s">
        <v>7</v>
      </c>
      <c r="BI17" s="10"/>
      <c r="BJ17" s="10"/>
      <c r="BK17" s="4"/>
      <c r="BL17" s="7"/>
      <c r="BM17" s="7"/>
      <c r="BN17" s="7"/>
      <c r="BO17" s="7"/>
      <c r="BQ17" s="1"/>
      <c r="BR17" s="2" t="s">
        <v>0</v>
      </c>
      <c r="BS17" s="2" t="s">
        <v>1</v>
      </c>
      <c r="BT17" s="2" t="s">
        <v>2</v>
      </c>
      <c r="BU17" s="2" t="s">
        <v>3</v>
      </c>
      <c r="BV17" s="2" t="s">
        <v>4</v>
      </c>
      <c r="BW17" s="2" t="s">
        <v>5</v>
      </c>
      <c r="BX17" s="2" t="s">
        <v>6</v>
      </c>
      <c r="BY17" s="2" t="s">
        <v>7</v>
      </c>
      <c r="BZ17" s="10"/>
      <c r="CA17" s="10"/>
      <c r="CB17" s="4"/>
      <c r="CC17" s="7"/>
      <c r="CD17" s="7"/>
      <c r="CE17" s="7"/>
      <c r="CF17" s="7"/>
      <c r="CI17" s="1"/>
      <c r="CJ17" s="2" t="s">
        <v>0</v>
      </c>
      <c r="CK17" s="2" t="s">
        <v>1</v>
      </c>
      <c r="CL17" s="2" t="s">
        <v>2</v>
      </c>
      <c r="CM17" s="2" t="s">
        <v>3</v>
      </c>
      <c r="CN17" s="2" t="s">
        <v>4</v>
      </c>
      <c r="CO17" s="2" t="s">
        <v>5</v>
      </c>
      <c r="CP17" s="2" t="s">
        <v>6</v>
      </c>
      <c r="CQ17" s="2" t="s">
        <v>7</v>
      </c>
      <c r="CR17" s="10"/>
      <c r="CS17" s="10"/>
      <c r="CT17" s="4"/>
      <c r="CU17" s="7"/>
      <c r="CV17" s="7"/>
      <c r="CW17" s="7"/>
      <c r="CX17" s="7"/>
      <c r="CZ17" s="1"/>
      <c r="DA17" s="2" t="s">
        <v>0</v>
      </c>
      <c r="DB17" s="2" t="s">
        <v>1</v>
      </c>
      <c r="DC17" s="2" t="s">
        <v>2</v>
      </c>
      <c r="DD17" s="2" t="s">
        <v>3</v>
      </c>
      <c r="DE17" s="2" t="s">
        <v>4</v>
      </c>
      <c r="DF17" s="2" t="s">
        <v>5</v>
      </c>
      <c r="DG17" s="2" t="s">
        <v>6</v>
      </c>
      <c r="DH17" s="2" t="s">
        <v>7</v>
      </c>
      <c r="DI17" s="10"/>
      <c r="DJ17" s="10"/>
      <c r="DK17" s="4"/>
      <c r="DL17" s="7"/>
      <c r="DM17" s="7"/>
      <c r="DN17" s="7"/>
      <c r="DO17" s="7"/>
      <c r="DQ17" s="1"/>
      <c r="DR17" s="2" t="s">
        <v>0</v>
      </c>
      <c r="DS17" s="2" t="s">
        <v>1</v>
      </c>
      <c r="DT17" s="2" t="s">
        <v>2</v>
      </c>
      <c r="DU17" s="2" t="s">
        <v>3</v>
      </c>
      <c r="DV17" s="2" t="s">
        <v>4</v>
      </c>
      <c r="DW17" s="2" t="s">
        <v>5</v>
      </c>
      <c r="DX17" s="2" t="s">
        <v>6</v>
      </c>
      <c r="DY17" s="2" t="s">
        <v>7</v>
      </c>
      <c r="DZ17" s="10"/>
      <c r="EA17" s="10"/>
      <c r="EB17" s="4"/>
      <c r="EC17" s="7"/>
      <c r="ED17" s="7"/>
      <c r="EE17" s="7"/>
      <c r="EF17" s="7"/>
    </row>
    <row r="18" spans="1:136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L18" s="4"/>
      <c r="M18" s="7"/>
      <c r="N18" s="7"/>
      <c r="O18" s="7"/>
      <c r="P18" s="7"/>
      <c r="R18" s="1"/>
      <c r="S18" s="2" t="s">
        <v>8</v>
      </c>
      <c r="T18" s="2"/>
      <c r="U18" s="2"/>
      <c r="V18" s="2"/>
      <c r="W18" s="2"/>
      <c r="X18" s="2"/>
      <c r="Y18" s="2"/>
      <c r="Z18" s="2"/>
      <c r="AA18" s="10"/>
      <c r="AC18" s="4"/>
      <c r="AD18" s="7"/>
      <c r="AE18" s="7"/>
      <c r="AF18" s="7"/>
      <c r="AG18" s="7"/>
      <c r="AI18" s="1"/>
      <c r="AJ18" s="2" t="s">
        <v>8</v>
      </c>
      <c r="AK18" s="2"/>
      <c r="AL18" s="2"/>
      <c r="AM18" s="2"/>
      <c r="AN18" s="2"/>
      <c r="AO18" s="2"/>
      <c r="AP18" s="2"/>
      <c r="AQ18" s="2"/>
      <c r="AR18" s="10"/>
      <c r="AT18" s="4"/>
      <c r="AU18" s="7"/>
      <c r="AV18" s="7"/>
      <c r="AW18" s="7"/>
      <c r="AX18" s="7"/>
      <c r="AZ18" s="1"/>
      <c r="BA18" s="2" t="s">
        <v>8</v>
      </c>
      <c r="BB18" s="2"/>
      <c r="BC18" s="2"/>
      <c r="BD18" s="2"/>
      <c r="BE18" s="2"/>
      <c r="BF18" s="2"/>
      <c r="BG18" s="2"/>
      <c r="BH18" s="2"/>
      <c r="BI18" s="10"/>
      <c r="BK18" s="4"/>
      <c r="BL18" s="7"/>
      <c r="BM18" s="7"/>
      <c r="BN18" s="7"/>
      <c r="BO18" s="7"/>
      <c r="BQ18" s="1"/>
      <c r="BR18" s="2" t="s">
        <v>8</v>
      </c>
      <c r="BS18" s="2"/>
      <c r="BT18" s="2"/>
      <c r="BU18" s="2"/>
      <c r="BV18" s="2"/>
      <c r="BW18" s="2"/>
      <c r="BX18" s="2"/>
      <c r="BY18" s="2"/>
      <c r="BZ18" s="10"/>
      <c r="CB18" s="4"/>
      <c r="CC18" s="7"/>
      <c r="CD18" s="7"/>
      <c r="CE18" s="7"/>
      <c r="CF18" s="7"/>
      <c r="CI18" s="1"/>
      <c r="CJ18" s="2" t="s">
        <v>8</v>
      </c>
      <c r="CK18" s="2"/>
      <c r="CL18" s="2"/>
      <c r="CM18" s="2"/>
      <c r="CN18" s="2"/>
      <c r="CO18" s="2"/>
      <c r="CP18" s="2"/>
      <c r="CQ18" s="2"/>
      <c r="CR18" s="10"/>
      <c r="CT18" s="4"/>
      <c r="CU18" s="7"/>
      <c r="CV18" s="7"/>
      <c r="CW18" s="7"/>
      <c r="CX18" s="7"/>
      <c r="CZ18" s="1"/>
      <c r="DA18" s="2" t="s">
        <v>8</v>
      </c>
      <c r="DB18" s="2"/>
      <c r="DC18" s="2"/>
      <c r="DD18" s="2"/>
      <c r="DE18" s="2"/>
      <c r="DF18" s="2"/>
      <c r="DG18" s="2"/>
      <c r="DH18" s="2"/>
      <c r="DI18" s="10"/>
      <c r="DK18" s="4"/>
      <c r="DL18" s="7"/>
      <c r="DM18" s="7"/>
      <c r="DN18" s="7"/>
      <c r="DO18" s="7"/>
      <c r="DQ18" s="1"/>
      <c r="DR18" s="2" t="s">
        <v>8</v>
      </c>
      <c r="DS18" s="2"/>
      <c r="DT18" s="2"/>
      <c r="DU18" s="2"/>
      <c r="DV18" s="2"/>
      <c r="DW18" s="2"/>
      <c r="DX18" s="2"/>
      <c r="DY18" s="2"/>
      <c r="DZ18" s="10"/>
      <c r="EB18" s="4"/>
      <c r="EC18" s="7"/>
      <c r="ED18" s="7"/>
      <c r="EE18" s="7"/>
      <c r="EF18" s="7"/>
    </row>
    <row r="19" spans="1:136">
      <c r="A19" s="1"/>
      <c r="B19" s="2" t="s">
        <v>9</v>
      </c>
      <c r="C19" s="3" t="s">
        <v>10</v>
      </c>
      <c r="D19" s="3" t="s">
        <v>10</v>
      </c>
      <c r="E19" s="3">
        <v>0</v>
      </c>
      <c r="F19" s="3" t="s">
        <v>10</v>
      </c>
      <c r="G19" s="3" t="s">
        <v>10</v>
      </c>
      <c r="H19" s="19">
        <v>295.39035000000001</v>
      </c>
      <c r="I19" s="19">
        <v>0</v>
      </c>
      <c r="J19" s="11"/>
      <c r="K19" s="6"/>
      <c r="L19" s="6"/>
      <c r="M19" s="7"/>
      <c r="N19" s="7"/>
      <c r="O19" s="7"/>
      <c r="P19" s="7"/>
      <c r="R19" s="1"/>
      <c r="S19" s="2" t="s">
        <v>9</v>
      </c>
      <c r="T19" s="3" t="s">
        <v>10</v>
      </c>
      <c r="U19" s="3" t="s">
        <v>10</v>
      </c>
      <c r="V19" s="3">
        <v>0</v>
      </c>
      <c r="W19" s="3" t="s">
        <v>10</v>
      </c>
      <c r="X19" s="3" t="s">
        <v>10</v>
      </c>
      <c r="Y19" s="19">
        <v>297.8673</v>
      </c>
      <c r="Z19" s="19">
        <v>0</v>
      </c>
      <c r="AA19" s="11"/>
      <c r="AB19" s="6"/>
      <c r="AC19" s="6"/>
      <c r="AD19" s="7"/>
      <c r="AE19" s="7"/>
      <c r="AF19" s="7"/>
      <c r="AG19" s="7"/>
      <c r="AI19" s="1"/>
      <c r="AJ19" s="2" t="s">
        <v>9</v>
      </c>
      <c r="AK19" s="3" t="s">
        <v>10</v>
      </c>
      <c r="AL19" s="3" t="s">
        <v>10</v>
      </c>
      <c r="AM19" s="3">
        <v>0</v>
      </c>
      <c r="AN19" s="3" t="s">
        <v>10</v>
      </c>
      <c r="AO19" s="3" t="s">
        <v>10</v>
      </c>
      <c r="AP19" s="3">
        <v>332.68515000000002</v>
      </c>
      <c r="AQ19" s="3">
        <v>0</v>
      </c>
      <c r="AR19" s="11"/>
      <c r="AS19" s="6"/>
      <c r="AT19" s="6"/>
      <c r="AU19" s="7"/>
      <c r="AV19" s="7"/>
      <c r="AW19" s="7"/>
      <c r="AX19" s="7"/>
      <c r="AZ19" s="1"/>
      <c r="BA19" s="2" t="s">
        <v>9</v>
      </c>
      <c r="BB19" s="3" t="s">
        <v>10</v>
      </c>
      <c r="BC19" s="3" t="s">
        <v>10</v>
      </c>
      <c r="BD19" s="3">
        <v>0</v>
      </c>
      <c r="BE19" s="3" t="s">
        <v>10</v>
      </c>
      <c r="BF19" s="3" t="s">
        <v>10</v>
      </c>
      <c r="BG19" s="19">
        <v>342.766773</v>
      </c>
      <c r="BH19" s="19">
        <v>0</v>
      </c>
      <c r="BI19" s="11"/>
      <c r="BJ19" s="6"/>
      <c r="BK19" s="6"/>
      <c r="BL19" s="7"/>
      <c r="BM19" s="7"/>
      <c r="BN19" s="7"/>
      <c r="BO19" s="7"/>
      <c r="BQ19" s="1"/>
      <c r="BR19" s="2" t="s">
        <v>9</v>
      </c>
      <c r="BS19" s="3" t="s">
        <v>10</v>
      </c>
      <c r="BT19" s="3" t="s">
        <v>10</v>
      </c>
      <c r="BU19" s="3">
        <v>0</v>
      </c>
      <c r="BV19" s="3" t="s">
        <v>10</v>
      </c>
      <c r="BW19" s="3" t="s">
        <v>10</v>
      </c>
      <c r="BX19" s="19">
        <v>239.01717300000001</v>
      </c>
      <c r="BY19" s="19">
        <v>0</v>
      </c>
      <c r="BZ19" s="11"/>
      <c r="CA19" s="6"/>
      <c r="CB19" s="6"/>
      <c r="CC19" s="7"/>
      <c r="CD19" s="7"/>
      <c r="CE19" s="7"/>
      <c r="CF19" s="7"/>
      <c r="CI19" s="1"/>
      <c r="CJ19" s="2" t="s">
        <v>9</v>
      </c>
      <c r="CK19" s="3" t="s">
        <v>10</v>
      </c>
      <c r="CL19" s="3" t="s">
        <v>10</v>
      </c>
      <c r="CM19" s="3">
        <v>0</v>
      </c>
      <c r="CN19" s="3" t="s">
        <v>10</v>
      </c>
      <c r="CO19" s="3" t="s">
        <v>10</v>
      </c>
      <c r="CP19" s="3">
        <v>370</v>
      </c>
      <c r="CQ19" s="3">
        <v>0</v>
      </c>
      <c r="CR19" s="11"/>
      <c r="CS19" s="6"/>
      <c r="CT19" s="6"/>
      <c r="CU19" s="7"/>
      <c r="CV19" s="7"/>
      <c r="CW19" s="7"/>
      <c r="CX19" s="7"/>
      <c r="CZ19" s="1"/>
      <c r="DA19" s="2" t="s">
        <v>9</v>
      </c>
      <c r="DB19" s="3" t="s">
        <v>10</v>
      </c>
      <c r="DC19" s="3" t="s">
        <v>10</v>
      </c>
      <c r="DD19" s="3">
        <v>0</v>
      </c>
      <c r="DE19" s="3" t="s">
        <v>10</v>
      </c>
      <c r="DF19" s="3" t="s">
        <v>10</v>
      </c>
      <c r="DG19" s="3">
        <v>358.93932899999999</v>
      </c>
      <c r="DH19" s="3">
        <v>41.504722999999998</v>
      </c>
      <c r="DI19" s="11"/>
      <c r="DJ19" s="6"/>
      <c r="DK19" s="6"/>
      <c r="DL19" s="7"/>
      <c r="DM19" s="7"/>
      <c r="DN19" s="7"/>
      <c r="DO19" s="7"/>
      <c r="DQ19" s="1"/>
      <c r="DR19" s="2" t="s">
        <v>9</v>
      </c>
      <c r="DS19" s="3" t="s">
        <v>10</v>
      </c>
      <c r="DT19" s="3" t="s">
        <v>10</v>
      </c>
      <c r="DU19" s="3">
        <v>0</v>
      </c>
      <c r="DV19" s="3" t="s">
        <v>10</v>
      </c>
      <c r="DW19" s="3" t="s">
        <v>10</v>
      </c>
      <c r="DX19" s="3">
        <v>206.99903499999999</v>
      </c>
      <c r="DY19" s="3">
        <v>0</v>
      </c>
      <c r="DZ19" s="11"/>
      <c r="EA19" s="6"/>
      <c r="EB19" s="6"/>
      <c r="EC19" s="7"/>
      <c r="ED19" s="7"/>
      <c r="EE19" s="7"/>
      <c r="EF19" s="7"/>
    </row>
    <row r="20" spans="1:136">
      <c r="A20" s="1"/>
      <c r="B20" s="2" t="s">
        <v>11</v>
      </c>
      <c r="C20" s="3">
        <v>10</v>
      </c>
      <c r="D20" s="3" t="s">
        <v>10</v>
      </c>
      <c r="E20" s="3">
        <v>0</v>
      </c>
      <c r="F20" s="3" t="s">
        <v>10</v>
      </c>
      <c r="G20" s="3" t="s">
        <v>10</v>
      </c>
      <c r="H20" s="19">
        <v>570</v>
      </c>
      <c r="I20" s="19">
        <v>150</v>
      </c>
      <c r="J20" s="11"/>
      <c r="K20" s="6"/>
      <c r="L20" s="6"/>
      <c r="M20" s="7"/>
      <c r="N20" s="7"/>
      <c r="O20" s="7"/>
      <c r="P20" s="7"/>
      <c r="R20" s="1"/>
      <c r="S20" s="2" t="s">
        <v>11</v>
      </c>
      <c r="T20" s="3">
        <v>10</v>
      </c>
      <c r="U20" s="3" t="s">
        <v>10</v>
      </c>
      <c r="V20" s="3">
        <v>0</v>
      </c>
      <c r="W20" s="3" t="s">
        <v>10</v>
      </c>
      <c r="X20" s="3" t="s">
        <v>10</v>
      </c>
      <c r="Y20" s="19">
        <v>570</v>
      </c>
      <c r="Z20" s="19">
        <v>150</v>
      </c>
      <c r="AA20" s="11"/>
      <c r="AB20" s="6"/>
      <c r="AC20" s="6"/>
      <c r="AD20" s="7"/>
      <c r="AE20" s="7"/>
      <c r="AF20" s="7"/>
      <c r="AG20" s="7"/>
      <c r="AI20" s="1"/>
      <c r="AJ20" s="2" t="s">
        <v>11</v>
      </c>
      <c r="AK20" s="3">
        <v>10</v>
      </c>
      <c r="AL20" s="3" t="s">
        <v>10</v>
      </c>
      <c r="AM20" s="3">
        <v>0</v>
      </c>
      <c r="AN20" s="3" t="s">
        <v>10</v>
      </c>
      <c r="AO20" s="3" t="s">
        <v>10</v>
      </c>
      <c r="AP20" s="3">
        <v>570</v>
      </c>
      <c r="AQ20" s="3">
        <v>150</v>
      </c>
      <c r="AR20" s="11"/>
      <c r="AS20" s="6"/>
      <c r="AT20" s="6"/>
      <c r="AU20" s="7"/>
      <c r="AV20" s="7"/>
      <c r="AW20" s="7"/>
      <c r="AX20" s="7"/>
      <c r="AZ20" s="1"/>
      <c r="BA20" s="2" t="s">
        <v>11</v>
      </c>
      <c r="BB20" s="3">
        <v>10</v>
      </c>
      <c r="BC20" s="3" t="s">
        <v>10</v>
      </c>
      <c r="BD20" s="3">
        <v>0</v>
      </c>
      <c r="BE20" s="3" t="s">
        <v>10</v>
      </c>
      <c r="BF20" s="3" t="s">
        <v>10</v>
      </c>
      <c r="BG20" s="19">
        <v>570</v>
      </c>
      <c r="BH20" s="19">
        <v>150</v>
      </c>
      <c r="BI20" s="11"/>
      <c r="BJ20" s="6"/>
      <c r="BK20" s="6"/>
      <c r="BL20" s="7"/>
      <c r="BM20" s="7"/>
      <c r="BN20" s="7"/>
      <c r="BO20" s="7"/>
      <c r="BQ20" s="1"/>
      <c r="BR20" s="2" t="s">
        <v>11</v>
      </c>
      <c r="BS20" s="3">
        <v>10</v>
      </c>
      <c r="BT20" s="3" t="s">
        <v>10</v>
      </c>
      <c r="BU20" s="3">
        <v>0</v>
      </c>
      <c r="BV20" s="3" t="s">
        <v>10</v>
      </c>
      <c r="BW20" s="3" t="s">
        <v>10</v>
      </c>
      <c r="BX20" s="19">
        <v>533.58973700000001</v>
      </c>
      <c r="BY20" s="19">
        <v>73.816300999999996</v>
      </c>
      <c r="BZ20" s="11"/>
      <c r="CA20" s="6"/>
      <c r="CB20" s="6"/>
      <c r="CC20" s="7"/>
      <c r="CD20" s="7"/>
      <c r="CE20" s="7"/>
      <c r="CF20" s="7"/>
      <c r="CI20" s="1"/>
      <c r="CJ20" s="2" t="s">
        <v>11</v>
      </c>
      <c r="CK20" s="3">
        <v>10</v>
      </c>
      <c r="CL20" s="3" t="s">
        <v>10</v>
      </c>
      <c r="CM20" s="3">
        <v>0</v>
      </c>
      <c r="CN20" s="3" t="s">
        <v>10</v>
      </c>
      <c r="CO20" s="3" t="s">
        <v>10</v>
      </c>
      <c r="CP20" s="3">
        <v>570</v>
      </c>
      <c r="CQ20" s="3">
        <v>150</v>
      </c>
      <c r="CR20" s="11"/>
      <c r="CS20" s="6"/>
      <c r="CT20" s="6"/>
      <c r="CU20" s="7"/>
      <c r="CV20" s="7"/>
      <c r="CW20" s="7"/>
      <c r="CX20" s="7"/>
      <c r="CZ20" s="1"/>
      <c r="DA20" s="2" t="s">
        <v>11</v>
      </c>
      <c r="DB20" s="3">
        <v>10</v>
      </c>
      <c r="DC20" s="3" t="s">
        <v>10</v>
      </c>
      <c r="DD20" s="3">
        <v>0</v>
      </c>
      <c r="DE20" s="3" t="s">
        <v>10</v>
      </c>
      <c r="DF20" s="3" t="s">
        <v>10</v>
      </c>
      <c r="DG20" s="3">
        <v>570</v>
      </c>
      <c r="DH20" s="3">
        <v>150</v>
      </c>
      <c r="DI20" s="11"/>
      <c r="DJ20" s="6"/>
      <c r="DK20" s="6"/>
      <c r="DL20" s="7"/>
      <c r="DM20" s="7"/>
      <c r="DN20" s="7"/>
      <c r="DO20" s="7"/>
      <c r="DQ20" s="1"/>
      <c r="DR20" s="2" t="s">
        <v>11</v>
      </c>
      <c r="DS20" s="3">
        <v>10</v>
      </c>
      <c r="DT20" s="3" t="s">
        <v>10</v>
      </c>
      <c r="DU20" s="3">
        <v>0</v>
      </c>
      <c r="DV20" s="3" t="s">
        <v>10</v>
      </c>
      <c r="DW20" s="3" t="s">
        <v>10</v>
      </c>
      <c r="DX20" s="3">
        <v>505.22661699999998</v>
      </c>
      <c r="DY20" s="3">
        <v>85.151475000000005</v>
      </c>
      <c r="DZ20" s="11"/>
      <c r="EA20" s="6"/>
      <c r="EB20" s="6"/>
      <c r="EC20" s="7"/>
      <c r="ED20" s="7"/>
      <c r="EE20" s="7"/>
      <c r="EF20" s="7"/>
    </row>
    <row r="21" spans="1:136">
      <c r="A21" s="1"/>
      <c r="B21" s="2" t="s">
        <v>12</v>
      </c>
      <c r="C21" s="3" t="s">
        <v>10</v>
      </c>
      <c r="D21" s="3" t="s">
        <v>10</v>
      </c>
      <c r="E21" s="3">
        <v>0</v>
      </c>
      <c r="F21" s="3">
        <v>15</v>
      </c>
      <c r="G21" s="3">
        <v>8</v>
      </c>
      <c r="H21" s="19">
        <v>0</v>
      </c>
      <c r="I21" s="19">
        <v>0</v>
      </c>
      <c r="J21" s="11"/>
      <c r="K21" s="6"/>
      <c r="L21" s="6"/>
      <c r="M21" s="7"/>
      <c r="N21" s="7"/>
      <c r="O21" s="7"/>
      <c r="P21" s="7"/>
      <c r="R21" s="1"/>
      <c r="S21" s="2" t="s">
        <v>12</v>
      </c>
      <c r="T21" s="3" t="s">
        <v>10</v>
      </c>
      <c r="U21" s="3" t="s">
        <v>10</v>
      </c>
      <c r="V21" s="3">
        <v>0</v>
      </c>
      <c r="W21" s="3">
        <v>15</v>
      </c>
      <c r="X21" s="3">
        <v>8</v>
      </c>
      <c r="Y21" s="19">
        <v>0</v>
      </c>
      <c r="Z21" s="19">
        <v>25.442731999999999</v>
      </c>
      <c r="AA21" s="11"/>
      <c r="AB21" s="6"/>
      <c r="AC21" s="6"/>
      <c r="AD21" s="7"/>
      <c r="AE21" s="7"/>
      <c r="AF21" s="7"/>
      <c r="AG21" s="7"/>
      <c r="AI21" s="1"/>
      <c r="AJ21" s="2" t="s">
        <v>12</v>
      </c>
      <c r="AK21" s="3" t="s">
        <v>10</v>
      </c>
      <c r="AL21" s="3" t="s">
        <v>10</v>
      </c>
      <c r="AM21" s="3">
        <v>0</v>
      </c>
      <c r="AN21" s="3">
        <v>15</v>
      </c>
      <c r="AO21" s="3">
        <v>8</v>
      </c>
      <c r="AP21" s="3">
        <v>0</v>
      </c>
      <c r="AQ21" s="3">
        <v>0</v>
      </c>
      <c r="AR21" s="11"/>
      <c r="AS21" s="6"/>
      <c r="AT21" s="6"/>
      <c r="AU21" s="7"/>
      <c r="AV21" s="7"/>
      <c r="AW21" s="7"/>
      <c r="AX21" s="7"/>
      <c r="AZ21" s="1"/>
      <c r="BA21" s="2" t="s">
        <v>12</v>
      </c>
      <c r="BB21" s="3" t="s">
        <v>10</v>
      </c>
      <c r="BC21" s="3" t="s">
        <v>10</v>
      </c>
      <c r="BD21" s="3">
        <v>0</v>
      </c>
      <c r="BE21" s="3">
        <v>15</v>
      </c>
      <c r="BF21" s="3">
        <v>8</v>
      </c>
      <c r="BG21" s="19">
        <v>0</v>
      </c>
      <c r="BH21" s="19">
        <v>20.169270000000001</v>
      </c>
      <c r="BI21" s="11"/>
      <c r="BJ21" s="6"/>
      <c r="BK21" s="6"/>
      <c r="BL21" s="7"/>
      <c r="BM21" s="7"/>
      <c r="BN21" s="7"/>
      <c r="BO21" s="7"/>
      <c r="BQ21" s="1"/>
      <c r="BR21" s="2" t="s">
        <v>12</v>
      </c>
      <c r="BS21" s="3" t="s">
        <v>10</v>
      </c>
      <c r="BT21" s="3" t="s">
        <v>10</v>
      </c>
      <c r="BU21" s="3">
        <v>0</v>
      </c>
      <c r="BV21" s="3">
        <v>15</v>
      </c>
      <c r="BW21" s="3">
        <v>8</v>
      </c>
      <c r="BX21" s="19">
        <v>0</v>
      </c>
      <c r="BY21" s="19">
        <v>0</v>
      </c>
      <c r="BZ21" s="11"/>
      <c r="CA21" s="6"/>
      <c r="CB21" s="6"/>
      <c r="CC21" s="7"/>
      <c r="CD21" s="7"/>
      <c r="CE21" s="7"/>
      <c r="CF21" s="7"/>
      <c r="CI21" s="1"/>
      <c r="CJ21" s="2" t="s">
        <v>12</v>
      </c>
      <c r="CK21" s="3" t="s">
        <v>10</v>
      </c>
      <c r="CL21" s="3" t="s">
        <v>10</v>
      </c>
      <c r="CM21" s="3">
        <v>0</v>
      </c>
      <c r="CN21" s="3">
        <v>15</v>
      </c>
      <c r="CO21" s="3">
        <v>8</v>
      </c>
      <c r="CP21" s="3">
        <v>0</v>
      </c>
      <c r="CQ21" s="3">
        <v>11.334892999999999</v>
      </c>
      <c r="CR21" s="11"/>
      <c r="CS21" s="6"/>
      <c r="CT21" s="6"/>
      <c r="CU21" s="7"/>
      <c r="CV21" s="7"/>
      <c r="CW21" s="7"/>
      <c r="CX21" s="7"/>
      <c r="CZ21" s="1"/>
      <c r="DA21" s="2" t="s">
        <v>12</v>
      </c>
      <c r="DB21" s="3" t="s">
        <v>10</v>
      </c>
      <c r="DC21" s="3" t="s">
        <v>10</v>
      </c>
      <c r="DD21" s="3">
        <v>0</v>
      </c>
      <c r="DE21" s="3">
        <v>15</v>
      </c>
      <c r="DF21" s="3">
        <v>8</v>
      </c>
      <c r="DG21" s="3">
        <v>0</v>
      </c>
      <c r="DH21" s="3">
        <v>0</v>
      </c>
      <c r="DI21" s="11"/>
      <c r="DJ21" s="6"/>
      <c r="DK21" s="6"/>
      <c r="DL21" s="7"/>
      <c r="DM21" s="7"/>
      <c r="DN21" s="7"/>
      <c r="DO21" s="7"/>
      <c r="DQ21" s="1"/>
      <c r="DR21" s="2" t="s">
        <v>12</v>
      </c>
      <c r="DS21" s="3" t="s">
        <v>10</v>
      </c>
      <c r="DT21" s="3" t="s">
        <v>10</v>
      </c>
      <c r="DU21" s="3">
        <v>0</v>
      </c>
      <c r="DV21" s="3">
        <v>15</v>
      </c>
      <c r="DW21" s="3">
        <v>8</v>
      </c>
      <c r="DX21" s="3">
        <v>0</v>
      </c>
      <c r="DY21" s="3">
        <v>0</v>
      </c>
      <c r="DZ21" s="11"/>
      <c r="EA21" s="6"/>
      <c r="EB21" s="6"/>
      <c r="EC21" s="7"/>
      <c r="ED21" s="7"/>
      <c r="EE21" s="7"/>
      <c r="EF21" s="7"/>
    </row>
    <row r="22" spans="1:136">
      <c r="A22" s="1"/>
      <c r="B22" s="2" t="s">
        <v>13</v>
      </c>
      <c r="C22" s="3">
        <v>10</v>
      </c>
      <c r="D22" s="3">
        <v>0</v>
      </c>
      <c r="E22" s="3">
        <v>0</v>
      </c>
      <c r="F22" s="3">
        <v>100</v>
      </c>
      <c r="G22" s="3">
        <v>15</v>
      </c>
      <c r="H22" s="19">
        <v>885.21762899999999</v>
      </c>
      <c r="I22" s="19">
        <v>178.00832199999999</v>
      </c>
      <c r="J22" s="11"/>
      <c r="K22" s="6"/>
      <c r="L22" s="6"/>
      <c r="M22" s="7"/>
      <c r="N22" s="7"/>
      <c r="O22" s="7"/>
      <c r="P22" s="7"/>
      <c r="R22" s="1"/>
      <c r="S22" s="2" t="s">
        <v>13</v>
      </c>
      <c r="T22" s="3">
        <v>10</v>
      </c>
      <c r="U22" s="3">
        <v>0</v>
      </c>
      <c r="V22" s="3">
        <v>0</v>
      </c>
      <c r="W22" s="3">
        <v>100</v>
      </c>
      <c r="X22" s="3">
        <v>15</v>
      </c>
      <c r="Y22" s="19">
        <v>829.91363100000001</v>
      </c>
      <c r="Z22" s="19">
        <v>203.37243900000001</v>
      </c>
      <c r="AA22" s="11"/>
      <c r="AB22" s="6"/>
      <c r="AC22" s="6"/>
      <c r="AD22" s="7"/>
      <c r="AE22" s="7"/>
      <c r="AF22" s="7"/>
      <c r="AG22" s="7"/>
      <c r="AI22" s="1"/>
      <c r="AJ22" s="2" t="s">
        <v>13</v>
      </c>
      <c r="AK22" s="3">
        <v>10</v>
      </c>
      <c r="AL22" s="3">
        <v>0</v>
      </c>
      <c r="AM22" s="3">
        <v>0</v>
      </c>
      <c r="AN22" s="3">
        <v>100</v>
      </c>
      <c r="AO22" s="3">
        <v>15</v>
      </c>
      <c r="AP22" s="3">
        <v>869.02722800000004</v>
      </c>
      <c r="AQ22" s="3">
        <v>169.27259900000001</v>
      </c>
      <c r="AR22" s="11"/>
      <c r="AS22" s="6"/>
      <c r="AT22" s="6"/>
      <c r="AU22" s="7"/>
      <c r="AV22" s="7"/>
      <c r="AW22" s="7"/>
      <c r="AX22" s="7"/>
      <c r="AZ22" s="1"/>
      <c r="BA22" s="2" t="s">
        <v>13</v>
      </c>
      <c r="BB22" s="3">
        <v>10</v>
      </c>
      <c r="BC22" s="3">
        <v>0</v>
      </c>
      <c r="BD22" s="3">
        <v>0</v>
      </c>
      <c r="BE22" s="3">
        <v>100</v>
      </c>
      <c r="BF22" s="3">
        <v>15</v>
      </c>
      <c r="BG22" s="19">
        <v>858.47314200000005</v>
      </c>
      <c r="BH22" s="19">
        <v>180.39727400000001</v>
      </c>
      <c r="BI22" s="11"/>
      <c r="BJ22" s="6"/>
      <c r="BK22" s="6"/>
      <c r="BL22" s="7"/>
      <c r="BM22" s="7"/>
      <c r="BN22" s="7"/>
      <c r="BO22" s="7"/>
      <c r="BQ22" s="1"/>
      <c r="BR22" s="2" t="s">
        <v>13</v>
      </c>
      <c r="BS22" s="3">
        <v>10</v>
      </c>
      <c r="BT22" s="3">
        <v>0</v>
      </c>
      <c r="BU22" s="3">
        <v>0</v>
      </c>
      <c r="BV22" s="3">
        <v>200</v>
      </c>
      <c r="BW22" s="3">
        <v>15</v>
      </c>
      <c r="BX22" s="19">
        <v>303.98603000000003</v>
      </c>
      <c r="BY22" s="19">
        <v>22.1</v>
      </c>
      <c r="BZ22" s="11"/>
      <c r="CA22" s="6"/>
      <c r="CB22" s="6"/>
      <c r="CC22" s="7"/>
      <c r="CD22" s="7"/>
      <c r="CE22" s="7"/>
      <c r="CF22" s="7"/>
      <c r="CI22" s="1"/>
      <c r="CJ22" s="2" t="s">
        <v>13</v>
      </c>
      <c r="CK22" s="3">
        <v>10</v>
      </c>
      <c r="CL22" s="3">
        <v>0</v>
      </c>
      <c r="CM22" s="3">
        <v>0</v>
      </c>
      <c r="CN22" s="3">
        <v>155.10060200000001</v>
      </c>
      <c r="CO22" s="3">
        <v>15</v>
      </c>
      <c r="CP22" s="3">
        <v>583.77044100000001</v>
      </c>
      <c r="CQ22" s="3">
        <v>130.64332400000001</v>
      </c>
      <c r="CR22" s="11"/>
      <c r="CS22" s="6"/>
      <c r="CT22" s="6"/>
      <c r="CU22" s="7"/>
      <c r="CV22" s="7"/>
      <c r="CW22" s="7"/>
      <c r="CX22" s="7"/>
      <c r="CZ22" s="1"/>
      <c r="DA22" s="2" t="s">
        <v>13</v>
      </c>
      <c r="DB22" s="3">
        <v>10</v>
      </c>
      <c r="DC22" s="3">
        <v>0</v>
      </c>
      <c r="DD22" s="3">
        <v>0</v>
      </c>
      <c r="DE22" s="3">
        <v>155.808941</v>
      </c>
      <c r="DF22" s="3">
        <v>15</v>
      </c>
      <c r="DG22" s="3">
        <v>654.006033</v>
      </c>
      <c r="DH22" s="3">
        <v>83.745047999999997</v>
      </c>
      <c r="DI22" s="11"/>
      <c r="DJ22" s="6"/>
      <c r="DK22" s="6"/>
      <c r="DL22" s="7"/>
      <c r="DM22" s="7"/>
      <c r="DN22" s="7"/>
      <c r="DO22" s="7"/>
      <c r="DQ22" s="1"/>
      <c r="DR22" s="2" t="s">
        <v>13</v>
      </c>
      <c r="DS22" s="3">
        <v>10</v>
      </c>
      <c r="DT22" s="3">
        <v>0</v>
      </c>
      <c r="DU22" s="3">
        <v>0</v>
      </c>
      <c r="DV22" s="3">
        <v>200</v>
      </c>
      <c r="DW22" s="3">
        <v>15</v>
      </c>
      <c r="DX22" s="3">
        <v>305.69374199999999</v>
      </c>
      <c r="DY22" s="3">
        <v>22.1</v>
      </c>
      <c r="DZ22" s="11"/>
      <c r="EA22" s="6"/>
      <c r="EB22" s="6"/>
      <c r="EC22" s="7"/>
      <c r="ED22" s="7"/>
      <c r="EE22" s="7"/>
      <c r="EF22" s="7"/>
    </row>
    <row r="23" spans="1:136">
      <c r="A23" s="1"/>
      <c r="B23" s="2" t="s">
        <v>14</v>
      </c>
      <c r="C23" s="3" t="s">
        <v>10</v>
      </c>
      <c r="D23" s="3" t="s">
        <v>10</v>
      </c>
      <c r="E23" s="3">
        <v>0</v>
      </c>
      <c r="F23" s="3">
        <v>0</v>
      </c>
      <c r="G23" s="3">
        <v>0</v>
      </c>
      <c r="H23" s="19">
        <v>27.185972</v>
      </c>
      <c r="I23" s="19">
        <v>120</v>
      </c>
      <c r="J23" s="11"/>
      <c r="K23" s="6"/>
      <c r="L23" s="6"/>
      <c r="M23" s="7"/>
      <c r="N23" s="7"/>
      <c r="O23" s="7"/>
      <c r="P23" s="7"/>
      <c r="R23" s="1"/>
      <c r="S23" s="2" t="s">
        <v>14</v>
      </c>
      <c r="T23" s="3" t="s">
        <v>10</v>
      </c>
      <c r="U23" s="3" t="s">
        <v>10</v>
      </c>
      <c r="V23" s="3">
        <v>0</v>
      </c>
      <c r="W23" s="3">
        <v>1.199133</v>
      </c>
      <c r="X23" s="3">
        <v>0</v>
      </c>
      <c r="Y23" s="19">
        <v>51.249827000000003</v>
      </c>
      <c r="Z23" s="19">
        <v>120</v>
      </c>
      <c r="AA23" s="11"/>
      <c r="AB23" s="6"/>
      <c r="AC23" s="6"/>
      <c r="AD23" s="7"/>
      <c r="AE23" s="7"/>
      <c r="AF23" s="7"/>
      <c r="AG23" s="7"/>
      <c r="AI23" s="1"/>
      <c r="AJ23" s="2" t="s">
        <v>14</v>
      </c>
      <c r="AK23" s="3" t="s">
        <v>10</v>
      </c>
      <c r="AL23" s="3" t="s">
        <v>10</v>
      </c>
      <c r="AM23" s="3">
        <v>0</v>
      </c>
      <c r="AN23" s="3">
        <v>0</v>
      </c>
      <c r="AO23" s="3">
        <v>0</v>
      </c>
      <c r="AP23" s="3">
        <v>28.905038000000001</v>
      </c>
      <c r="AQ23" s="3">
        <v>120</v>
      </c>
      <c r="AR23" s="11"/>
      <c r="AS23" s="6"/>
      <c r="AT23" s="6"/>
      <c r="AU23" s="7"/>
      <c r="AV23" s="7"/>
      <c r="AW23" s="7"/>
      <c r="AX23" s="7"/>
      <c r="AZ23" s="1"/>
      <c r="BA23" s="2" t="s">
        <v>14</v>
      </c>
      <c r="BB23" s="3" t="s">
        <v>10</v>
      </c>
      <c r="BC23" s="3" t="s">
        <v>10</v>
      </c>
      <c r="BD23" s="3">
        <v>0</v>
      </c>
      <c r="BE23" s="3">
        <v>1.2085129999999999</v>
      </c>
      <c r="BF23" s="3">
        <v>0</v>
      </c>
      <c r="BG23" s="19">
        <v>51.214992000000002</v>
      </c>
      <c r="BH23" s="19">
        <v>120</v>
      </c>
      <c r="BI23" s="11"/>
      <c r="BJ23" s="6"/>
      <c r="BK23" s="6"/>
      <c r="BL23" s="7"/>
      <c r="BM23" s="7"/>
      <c r="BN23" s="7"/>
      <c r="BO23" s="7"/>
      <c r="BQ23" s="1"/>
      <c r="BR23" s="2" t="s">
        <v>14</v>
      </c>
      <c r="BS23" s="3" t="s">
        <v>10</v>
      </c>
      <c r="BT23" s="3" t="s">
        <v>10</v>
      </c>
      <c r="BU23" s="3">
        <v>0</v>
      </c>
      <c r="BV23" s="3">
        <v>40</v>
      </c>
      <c r="BW23" s="3">
        <v>0</v>
      </c>
      <c r="BX23" s="19">
        <v>42.282412999999998</v>
      </c>
      <c r="BY23" s="19">
        <v>29.148935999999999</v>
      </c>
      <c r="BZ23" s="11"/>
      <c r="CA23" s="6"/>
      <c r="CB23" s="6"/>
      <c r="CC23" s="7"/>
      <c r="CD23" s="7"/>
      <c r="CE23" s="7"/>
      <c r="CF23" s="7"/>
      <c r="CI23" s="1"/>
      <c r="CJ23" s="2" t="s">
        <v>14</v>
      </c>
      <c r="CK23" s="3" t="s">
        <v>10</v>
      </c>
      <c r="CL23" s="3" t="s">
        <v>10</v>
      </c>
      <c r="CM23" s="3">
        <v>0</v>
      </c>
      <c r="CN23" s="3">
        <v>0</v>
      </c>
      <c r="CO23" s="3">
        <v>0</v>
      </c>
      <c r="CP23" s="3">
        <v>18.143336000000001</v>
      </c>
      <c r="CQ23" s="3">
        <v>120</v>
      </c>
      <c r="CR23" s="11"/>
      <c r="CS23" s="6"/>
      <c r="CT23" s="6"/>
      <c r="CU23" s="7"/>
      <c r="CV23" s="7"/>
      <c r="CW23" s="7"/>
      <c r="CX23" s="7"/>
      <c r="CZ23" s="1"/>
      <c r="DA23" s="2" t="s">
        <v>14</v>
      </c>
      <c r="DB23" s="3" t="s">
        <v>10</v>
      </c>
      <c r="DC23" s="3" t="s">
        <v>10</v>
      </c>
      <c r="DD23" s="3">
        <v>0</v>
      </c>
      <c r="DE23" s="3">
        <v>0</v>
      </c>
      <c r="DF23" s="3">
        <v>0</v>
      </c>
      <c r="DG23" s="3">
        <v>18.143336000000001</v>
      </c>
      <c r="DH23" s="3">
        <v>120</v>
      </c>
      <c r="DI23" s="11"/>
      <c r="DJ23" s="6"/>
      <c r="DK23" s="6"/>
      <c r="DL23" s="7"/>
      <c r="DM23" s="7"/>
      <c r="DN23" s="7"/>
      <c r="DO23" s="7"/>
      <c r="DQ23" s="1"/>
      <c r="DR23" s="2" t="s">
        <v>14</v>
      </c>
      <c r="DS23" s="3" t="s">
        <v>10</v>
      </c>
      <c r="DT23" s="3" t="s">
        <v>10</v>
      </c>
      <c r="DU23" s="3">
        <v>0</v>
      </c>
      <c r="DV23" s="3">
        <v>40</v>
      </c>
      <c r="DW23" s="3">
        <v>0</v>
      </c>
      <c r="DX23" s="3">
        <v>25.961987000000001</v>
      </c>
      <c r="DY23" s="3">
        <v>16.991765999999998</v>
      </c>
      <c r="DZ23" s="11"/>
      <c r="EA23" s="6"/>
      <c r="EB23" s="6"/>
      <c r="EC23" s="7"/>
      <c r="ED23" s="7"/>
      <c r="EE23" s="7"/>
      <c r="EF23" s="7"/>
    </row>
    <row r="24" spans="1:136">
      <c r="A24" s="1"/>
      <c r="B24" s="2" t="s">
        <v>15</v>
      </c>
      <c r="C24" s="3" t="s">
        <v>10</v>
      </c>
      <c r="D24" s="3" t="s">
        <v>10</v>
      </c>
      <c r="E24" s="3">
        <v>0</v>
      </c>
      <c r="F24" s="19">
        <v>15.839881</v>
      </c>
      <c r="G24" s="3" t="s">
        <v>10</v>
      </c>
      <c r="H24" s="19">
        <v>119.805356</v>
      </c>
      <c r="I24" s="19">
        <v>200</v>
      </c>
      <c r="J24" s="11"/>
      <c r="K24" s="6"/>
      <c r="L24" s="6"/>
      <c r="M24" s="7"/>
      <c r="N24" s="7"/>
      <c r="O24" s="7"/>
      <c r="P24" s="7"/>
      <c r="R24" s="1"/>
      <c r="S24" s="2" t="s">
        <v>15</v>
      </c>
      <c r="T24" s="3" t="s">
        <v>10</v>
      </c>
      <c r="U24" s="3" t="s">
        <v>10</v>
      </c>
      <c r="V24" s="3">
        <v>0</v>
      </c>
      <c r="W24" s="3">
        <v>31.276092999999999</v>
      </c>
      <c r="X24" s="3" t="s">
        <v>10</v>
      </c>
      <c r="Y24" s="19">
        <v>58.687449000000001</v>
      </c>
      <c r="Z24" s="19">
        <v>200</v>
      </c>
      <c r="AA24" s="11"/>
      <c r="AB24" s="6"/>
      <c r="AC24" s="6"/>
      <c r="AD24" s="7"/>
      <c r="AE24" s="7"/>
      <c r="AF24" s="7"/>
      <c r="AG24" s="7"/>
      <c r="AI24" s="1"/>
      <c r="AJ24" s="2" t="s">
        <v>15</v>
      </c>
      <c r="AK24" s="3" t="s">
        <v>10</v>
      </c>
      <c r="AL24" s="3" t="s">
        <v>10</v>
      </c>
      <c r="AM24" s="3">
        <v>0</v>
      </c>
      <c r="AN24" s="3">
        <v>15.678991</v>
      </c>
      <c r="AO24" s="3" t="s">
        <v>10</v>
      </c>
      <c r="AP24" s="3">
        <v>119.77155500000001</v>
      </c>
      <c r="AQ24" s="3">
        <v>200</v>
      </c>
      <c r="AR24" s="11"/>
      <c r="AS24" s="6"/>
      <c r="AT24" s="6"/>
      <c r="AU24" s="7"/>
      <c r="AV24" s="7"/>
      <c r="AW24" s="7"/>
      <c r="AX24" s="7"/>
      <c r="AZ24" s="1"/>
      <c r="BA24" s="2" t="s">
        <v>15</v>
      </c>
      <c r="BB24" s="3" t="s">
        <v>10</v>
      </c>
      <c r="BC24" s="3" t="s">
        <v>10</v>
      </c>
      <c r="BD24" s="3">
        <v>0</v>
      </c>
      <c r="BE24" s="3">
        <v>31.064423000000001</v>
      </c>
      <c r="BF24" s="3" t="s">
        <v>10</v>
      </c>
      <c r="BG24" s="19">
        <v>59.679098000000003</v>
      </c>
      <c r="BH24" s="19">
        <v>200</v>
      </c>
      <c r="BI24" s="11"/>
      <c r="BJ24" s="6"/>
      <c r="BK24" s="6"/>
      <c r="BL24" s="7"/>
      <c r="BM24" s="7"/>
      <c r="BN24" s="7"/>
      <c r="BO24" s="7"/>
      <c r="BQ24" s="1"/>
      <c r="BR24" s="2" t="s">
        <v>15</v>
      </c>
      <c r="BS24" s="3" t="s">
        <v>10</v>
      </c>
      <c r="BT24" s="3" t="s">
        <v>10</v>
      </c>
      <c r="BU24" s="3">
        <v>0</v>
      </c>
      <c r="BV24" s="3">
        <v>60</v>
      </c>
      <c r="BW24" s="3" t="s">
        <v>10</v>
      </c>
      <c r="BX24" s="19">
        <v>6</v>
      </c>
      <c r="BY24" s="19">
        <v>0</v>
      </c>
      <c r="BZ24" s="11"/>
      <c r="CA24" s="6"/>
      <c r="CB24" s="6"/>
      <c r="CC24" s="7"/>
      <c r="CD24" s="7"/>
      <c r="CE24" s="7"/>
      <c r="CF24" s="7"/>
      <c r="CI24" s="1"/>
      <c r="CJ24" s="2" t="s">
        <v>15</v>
      </c>
      <c r="CK24" s="3" t="s">
        <v>10</v>
      </c>
      <c r="CL24" s="3" t="s">
        <v>10</v>
      </c>
      <c r="CM24" s="3">
        <v>0</v>
      </c>
      <c r="CN24" s="3">
        <v>0</v>
      </c>
      <c r="CO24" s="3" t="s">
        <v>10</v>
      </c>
      <c r="CP24" s="3">
        <v>50.849653000000004</v>
      </c>
      <c r="CQ24" s="3">
        <v>200</v>
      </c>
      <c r="CR24" s="11"/>
      <c r="CS24" s="6"/>
      <c r="CT24" s="6"/>
      <c r="CU24" s="7"/>
      <c r="CV24" s="7"/>
      <c r="CW24" s="7"/>
      <c r="CX24" s="7"/>
      <c r="CZ24" s="1"/>
      <c r="DA24" s="2" t="s">
        <v>15</v>
      </c>
      <c r="DB24" s="3" t="s">
        <v>10</v>
      </c>
      <c r="DC24" s="3" t="s">
        <v>10</v>
      </c>
      <c r="DD24" s="3">
        <v>0</v>
      </c>
      <c r="DE24" s="3">
        <v>0</v>
      </c>
      <c r="DF24" s="3" t="s">
        <v>10</v>
      </c>
      <c r="DG24" s="3">
        <v>87.941564999999997</v>
      </c>
      <c r="DH24" s="3">
        <v>171.353926</v>
      </c>
      <c r="DI24" s="11"/>
      <c r="DJ24" s="6"/>
      <c r="DK24" s="6"/>
      <c r="DL24" s="7"/>
      <c r="DM24" s="7"/>
      <c r="DN24" s="7"/>
      <c r="DO24" s="7"/>
      <c r="DQ24" s="1"/>
      <c r="DR24" s="2" t="s">
        <v>15</v>
      </c>
      <c r="DS24" s="3" t="s">
        <v>10</v>
      </c>
      <c r="DT24" s="3" t="s">
        <v>10</v>
      </c>
      <c r="DU24" s="3">
        <v>0</v>
      </c>
      <c r="DV24" s="3">
        <v>60</v>
      </c>
      <c r="DW24" s="3" t="s">
        <v>10</v>
      </c>
      <c r="DX24" s="3">
        <v>6</v>
      </c>
      <c r="DY24" s="3">
        <v>0</v>
      </c>
      <c r="DZ24" s="11"/>
      <c r="EA24" s="6"/>
      <c r="EB24" s="6"/>
      <c r="EC24" s="7"/>
      <c r="ED24" s="7"/>
      <c r="EE24" s="7"/>
      <c r="EF24" s="7"/>
    </row>
    <row r="25" spans="1:136">
      <c r="A25" s="1"/>
      <c r="B25" s="2" t="s">
        <v>16</v>
      </c>
      <c r="C25" s="3" t="s">
        <v>10</v>
      </c>
      <c r="D25" s="3" t="s">
        <v>10</v>
      </c>
      <c r="E25" s="3">
        <v>0</v>
      </c>
      <c r="F25" s="19">
        <v>2.3064650000000002</v>
      </c>
      <c r="G25" s="3" t="s">
        <v>10</v>
      </c>
      <c r="H25" s="19">
        <v>0.25</v>
      </c>
      <c r="I25" s="19">
        <v>0</v>
      </c>
      <c r="J25" s="11"/>
      <c r="K25" s="6"/>
      <c r="L25" s="6"/>
      <c r="M25" s="11"/>
      <c r="N25" s="11"/>
      <c r="O25" s="11"/>
      <c r="P25" s="11"/>
      <c r="R25" s="1"/>
      <c r="S25" s="2" t="s">
        <v>16</v>
      </c>
      <c r="T25" s="3" t="s">
        <v>10</v>
      </c>
      <c r="U25" s="3" t="s">
        <v>10</v>
      </c>
      <c r="V25" s="3">
        <v>0</v>
      </c>
      <c r="W25" s="3">
        <v>1.869372</v>
      </c>
      <c r="X25" s="3" t="s">
        <v>10</v>
      </c>
      <c r="Y25" s="19">
        <v>1.813855</v>
      </c>
      <c r="Z25" s="19">
        <v>0.46194000000000002</v>
      </c>
      <c r="AA25" s="11"/>
      <c r="AB25" s="6"/>
      <c r="AC25" s="6"/>
      <c r="AD25" s="11"/>
      <c r="AE25" s="11"/>
      <c r="AF25" s="11"/>
      <c r="AG25" s="11"/>
      <c r="AI25" s="1"/>
      <c r="AJ25" s="2" t="s">
        <v>16</v>
      </c>
      <c r="AK25" s="3" t="s">
        <v>10</v>
      </c>
      <c r="AL25" s="3" t="s">
        <v>10</v>
      </c>
      <c r="AM25" s="3">
        <v>0</v>
      </c>
      <c r="AN25" s="3">
        <v>2.454558</v>
      </c>
      <c r="AO25" s="3" t="s">
        <v>10</v>
      </c>
      <c r="AP25" s="3">
        <v>0.25</v>
      </c>
      <c r="AQ25" s="3">
        <v>0</v>
      </c>
      <c r="AR25" s="11"/>
      <c r="AS25" s="6"/>
      <c r="AT25" s="6"/>
      <c r="AU25" s="11"/>
      <c r="AV25" s="11"/>
      <c r="AW25" s="11"/>
      <c r="AX25" s="11"/>
      <c r="AZ25" s="1"/>
      <c r="BA25" s="2" t="s">
        <v>16</v>
      </c>
      <c r="BB25" s="3" t="s">
        <v>10</v>
      </c>
      <c r="BC25" s="3" t="s">
        <v>10</v>
      </c>
      <c r="BD25" s="3">
        <v>0</v>
      </c>
      <c r="BE25" s="3">
        <v>1.914093</v>
      </c>
      <c r="BF25" s="3" t="s">
        <v>10</v>
      </c>
      <c r="BG25" s="19">
        <v>3.0154420000000002</v>
      </c>
      <c r="BH25" s="19">
        <v>0.16624900000000001</v>
      </c>
      <c r="BI25" s="11"/>
      <c r="BJ25" s="6"/>
      <c r="BK25" s="6"/>
      <c r="BL25" s="11"/>
      <c r="BM25" s="11"/>
      <c r="BN25" s="11"/>
      <c r="BO25" s="11"/>
      <c r="BQ25" s="1"/>
      <c r="BR25" s="2" t="s">
        <v>16</v>
      </c>
      <c r="BS25" s="3" t="s">
        <v>10</v>
      </c>
      <c r="BT25" s="3" t="s">
        <v>10</v>
      </c>
      <c r="BU25" s="3">
        <v>0</v>
      </c>
      <c r="BV25" s="3">
        <v>4.7066869999999996</v>
      </c>
      <c r="BW25" s="3" t="s">
        <v>10</v>
      </c>
      <c r="BX25" s="19">
        <v>0.25</v>
      </c>
      <c r="BY25" s="19">
        <v>0</v>
      </c>
      <c r="BZ25" s="11"/>
      <c r="CA25" s="6"/>
      <c r="CB25" s="6"/>
      <c r="CC25" s="11"/>
      <c r="CD25" s="11"/>
      <c r="CE25" s="11"/>
      <c r="CF25" s="11"/>
      <c r="CI25" s="1"/>
      <c r="CJ25" s="2" t="s">
        <v>16</v>
      </c>
      <c r="CK25" s="3" t="s">
        <v>10</v>
      </c>
      <c r="CL25" s="3" t="s">
        <v>10</v>
      </c>
      <c r="CM25" s="3">
        <v>0</v>
      </c>
      <c r="CN25" s="3">
        <v>1.5587679999999999</v>
      </c>
      <c r="CO25" s="3" t="s">
        <v>10</v>
      </c>
      <c r="CP25" s="3">
        <v>4.5416220000000003</v>
      </c>
      <c r="CQ25" s="3">
        <v>0.75260499999999997</v>
      </c>
      <c r="CR25" s="11"/>
      <c r="CS25" s="6"/>
      <c r="CT25" s="6"/>
      <c r="CU25" s="11"/>
      <c r="CV25" s="11"/>
      <c r="CW25" s="11"/>
      <c r="CX25" s="11"/>
      <c r="CZ25" s="1"/>
      <c r="DA25" s="2" t="s">
        <v>16</v>
      </c>
      <c r="DB25" s="3" t="s">
        <v>10</v>
      </c>
      <c r="DC25" s="3" t="s">
        <v>10</v>
      </c>
      <c r="DD25" s="3">
        <v>0</v>
      </c>
      <c r="DE25" s="3">
        <v>1.5</v>
      </c>
      <c r="DF25" s="3" t="s">
        <v>10</v>
      </c>
      <c r="DG25" s="3">
        <v>4.8661029999999998</v>
      </c>
      <c r="DH25" s="3">
        <v>0.86150099999999996</v>
      </c>
      <c r="DI25" s="11"/>
      <c r="DJ25" s="6"/>
      <c r="DK25" s="6"/>
      <c r="DL25" s="11"/>
      <c r="DM25" s="11"/>
      <c r="DN25" s="11"/>
      <c r="DO25" s="11"/>
      <c r="DQ25" s="1"/>
      <c r="DR25" s="2" t="s">
        <v>16</v>
      </c>
      <c r="DS25" s="3" t="s">
        <v>10</v>
      </c>
      <c r="DT25" s="3" t="s">
        <v>10</v>
      </c>
      <c r="DU25" s="3">
        <v>0</v>
      </c>
      <c r="DV25" s="3">
        <v>2.3725450000000001</v>
      </c>
      <c r="DW25" s="3" t="s">
        <v>10</v>
      </c>
      <c r="DX25" s="3">
        <v>0.25</v>
      </c>
      <c r="DY25" s="3">
        <v>0</v>
      </c>
      <c r="DZ25" s="11"/>
      <c r="EA25" s="6"/>
      <c r="EB25" s="6"/>
      <c r="EC25" s="11"/>
      <c r="ED25" s="11"/>
      <c r="EE25" s="11"/>
      <c r="EF25" s="11"/>
    </row>
    <row r="26" spans="1:136">
      <c r="A26" s="1"/>
      <c r="B26" s="2" t="s">
        <v>17</v>
      </c>
      <c r="C26" s="3">
        <v>41.4</v>
      </c>
      <c r="D26" s="3" t="s">
        <v>10</v>
      </c>
      <c r="E26" s="3">
        <v>0</v>
      </c>
      <c r="F26" s="19">
        <v>99.836257000000003</v>
      </c>
      <c r="G26" s="3" t="s">
        <v>10</v>
      </c>
      <c r="H26" s="19">
        <v>217.352191</v>
      </c>
      <c r="I26" s="19">
        <v>400</v>
      </c>
      <c r="J26" s="11"/>
      <c r="K26" s="6"/>
      <c r="L26" s="6"/>
      <c r="M26" s="11"/>
      <c r="N26" s="11"/>
      <c r="O26" s="11"/>
      <c r="P26" s="11"/>
      <c r="R26" s="1"/>
      <c r="S26" s="2" t="s">
        <v>17</v>
      </c>
      <c r="T26" s="3">
        <v>41.4</v>
      </c>
      <c r="U26" s="3" t="s">
        <v>10</v>
      </c>
      <c r="V26" s="3">
        <v>0</v>
      </c>
      <c r="W26" s="3">
        <v>81.657241999999997</v>
      </c>
      <c r="X26" s="3" t="s">
        <v>10</v>
      </c>
      <c r="Y26" s="19">
        <v>327.99490700000001</v>
      </c>
      <c r="Z26" s="19">
        <v>400</v>
      </c>
      <c r="AA26" s="11"/>
      <c r="AB26" s="6"/>
      <c r="AC26" s="6"/>
      <c r="AD26" s="11"/>
      <c r="AE26" s="11"/>
      <c r="AF26" s="11"/>
      <c r="AG26" s="11"/>
      <c r="AI26" s="1"/>
      <c r="AJ26" s="2" t="s">
        <v>17</v>
      </c>
      <c r="AK26" s="3">
        <v>41.4</v>
      </c>
      <c r="AL26" s="3" t="s">
        <v>10</v>
      </c>
      <c r="AM26" s="3">
        <v>0</v>
      </c>
      <c r="AN26" s="3">
        <v>100</v>
      </c>
      <c r="AO26" s="3" t="s">
        <v>10</v>
      </c>
      <c r="AP26" s="3">
        <v>220.951472</v>
      </c>
      <c r="AQ26" s="3">
        <v>400</v>
      </c>
      <c r="AR26" s="11"/>
      <c r="AS26" s="6"/>
      <c r="AT26" s="6"/>
      <c r="AU26" s="11"/>
      <c r="AV26" s="11"/>
      <c r="AW26" s="11"/>
      <c r="AX26" s="11"/>
      <c r="AZ26" s="1"/>
      <c r="BA26" s="2" t="s">
        <v>17</v>
      </c>
      <c r="BB26" s="3">
        <v>41.4</v>
      </c>
      <c r="BC26" s="3" t="s">
        <v>10</v>
      </c>
      <c r="BD26" s="3">
        <v>0</v>
      </c>
      <c r="BE26" s="3">
        <v>82.860305999999994</v>
      </c>
      <c r="BF26" s="3" t="s">
        <v>10</v>
      </c>
      <c r="BG26" s="19">
        <v>325.784356</v>
      </c>
      <c r="BH26" s="19">
        <v>400</v>
      </c>
      <c r="BI26" s="11"/>
      <c r="BJ26" s="6"/>
      <c r="BK26" s="6"/>
      <c r="BL26" s="11"/>
      <c r="BM26" s="11"/>
      <c r="BN26" s="11"/>
      <c r="BO26" s="11"/>
      <c r="BQ26" s="1"/>
      <c r="BR26" s="2" t="s">
        <v>17</v>
      </c>
      <c r="BS26" s="3">
        <v>41.4</v>
      </c>
      <c r="BT26" s="3" t="s">
        <v>10</v>
      </c>
      <c r="BU26" s="3">
        <v>0</v>
      </c>
      <c r="BV26" s="3">
        <v>150</v>
      </c>
      <c r="BW26" s="3" t="s">
        <v>10</v>
      </c>
      <c r="BX26" s="19">
        <v>222.705321</v>
      </c>
      <c r="BY26" s="19">
        <v>13</v>
      </c>
      <c r="BZ26" s="11"/>
      <c r="CA26" s="6"/>
      <c r="CB26" s="6"/>
      <c r="CC26" s="11"/>
      <c r="CD26" s="11"/>
      <c r="CE26" s="11"/>
      <c r="CF26" s="11"/>
      <c r="CI26" s="1"/>
      <c r="CJ26" s="2" t="s">
        <v>17</v>
      </c>
      <c r="CK26" s="3">
        <v>41.4</v>
      </c>
      <c r="CL26" s="3" t="s">
        <v>10</v>
      </c>
      <c r="CM26" s="3">
        <v>0</v>
      </c>
      <c r="CN26" s="3">
        <v>137.786429</v>
      </c>
      <c r="CO26" s="3" t="s">
        <v>10</v>
      </c>
      <c r="CP26" s="3">
        <v>324.28362199999998</v>
      </c>
      <c r="CQ26" s="3">
        <v>102.227581</v>
      </c>
      <c r="CR26" s="11"/>
      <c r="CS26" s="6"/>
      <c r="CT26" s="6"/>
      <c r="CU26" s="11"/>
      <c r="CV26" s="11"/>
      <c r="CW26" s="11"/>
      <c r="CX26" s="11"/>
      <c r="CZ26" s="1"/>
      <c r="DA26" s="2" t="s">
        <v>17</v>
      </c>
      <c r="DB26" s="3">
        <v>41.4</v>
      </c>
      <c r="DC26" s="3" t="s">
        <v>10</v>
      </c>
      <c r="DD26" s="3">
        <v>0</v>
      </c>
      <c r="DE26" s="3">
        <v>137.75338500000001</v>
      </c>
      <c r="DF26" s="3" t="s">
        <v>10</v>
      </c>
      <c r="DG26" s="3">
        <v>289.48019299999999</v>
      </c>
      <c r="DH26" s="3">
        <v>147.99648300000001</v>
      </c>
      <c r="DI26" s="11"/>
      <c r="DJ26" s="6"/>
      <c r="DK26" s="6"/>
      <c r="DL26" s="11"/>
      <c r="DM26" s="11"/>
      <c r="DN26" s="11"/>
      <c r="DO26" s="11"/>
      <c r="DQ26" s="1"/>
      <c r="DR26" s="2" t="s">
        <v>17</v>
      </c>
      <c r="DS26" s="3">
        <v>41.4</v>
      </c>
      <c r="DT26" s="3" t="s">
        <v>10</v>
      </c>
      <c r="DU26" s="3">
        <v>0</v>
      </c>
      <c r="DV26" s="3">
        <v>150</v>
      </c>
      <c r="DW26" s="3" t="s">
        <v>10</v>
      </c>
      <c r="DX26" s="3">
        <v>305.29833100000002</v>
      </c>
      <c r="DY26" s="3">
        <v>13</v>
      </c>
      <c r="DZ26" s="11"/>
      <c r="EA26" s="6"/>
      <c r="EB26" s="6"/>
      <c r="EC26" s="11"/>
      <c r="ED26" s="11"/>
      <c r="EE26" s="11"/>
      <c r="EF26" s="11"/>
    </row>
    <row r="27" spans="1:136">
      <c r="A27" s="1"/>
      <c r="B27" s="2" t="s">
        <v>18</v>
      </c>
      <c r="C27" s="3" t="s">
        <v>10</v>
      </c>
      <c r="D27" s="3" t="s">
        <v>10</v>
      </c>
      <c r="E27" s="3">
        <v>0</v>
      </c>
      <c r="F27" s="3">
        <v>60</v>
      </c>
      <c r="G27" s="3" t="s">
        <v>10</v>
      </c>
      <c r="H27" s="19">
        <v>1.5</v>
      </c>
      <c r="I27" s="19">
        <v>2.2000000000000002</v>
      </c>
      <c r="J27" s="11"/>
      <c r="K27" s="6"/>
      <c r="L27" s="6"/>
      <c r="M27" s="15"/>
      <c r="N27" s="15"/>
      <c r="O27" s="15"/>
      <c r="P27" s="15"/>
      <c r="R27" s="1"/>
      <c r="S27" s="2" t="s">
        <v>18</v>
      </c>
      <c r="T27" s="3" t="s">
        <v>10</v>
      </c>
      <c r="U27" s="3" t="s">
        <v>10</v>
      </c>
      <c r="V27" s="3">
        <v>0</v>
      </c>
      <c r="W27" s="3">
        <v>60</v>
      </c>
      <c r="X27" s="3" t="s">
        <v>10</v>
      </c>
      <c r="Y27" s="19">
        <v>1.5</v>
      </c>
      <c r="Z27" s="19">
        <v>2.2000000000000002</v>
      </c>
      <c r="AA27" s="11"/>
      <c r="AB27" s="6"/>
      <c r="AC27" s="6"/>
      <c r="AD27" s="15"/>
      <c r="AE27" s="15"/>
      <c r="AF27" s="15"/>
      <c r="AG27" s="15"/>
      <c r="AI27" s="1"/>
      <c r="AJ27" s="2" t="s">
        <v>18</v>
      </c>
      <c r="AK27" s="3" t="s">
        <v>10</v>
      </c>
      <c r="AL27" s="3" t="s">
        <v>10</v>
      </c>
      <c r="AM27" s="3">
        <v>0</v>
      </c>
      <c r="AN27" s="3">
        <v>60</v>
      </c>
      <c r="AO27" s="3" t="s">
        <v>10</v>
      </c>
      <c r="AP27" s="3">
        <v>1.5</v>
      </c>
      <c r="AQ27" s="3">
        <v>2.2000000000000002</v>
      </c>
      <c r="AR27" s="11"/>
      <c r="AS27" s="6"/>
      <c r="AT27" s="6"/>
      <c r="AU27" s="15"/>
      <c r="AV27" s="15"/>
      <c r="AW27" s="15"/>
      <c r="AX27" s="15"/>
      <c r="AZ27" s="1"/>
      <c r="BA27" s="2" t="s">
        <v>18</v>
      </c>
      <c r="BB27" s="3" t="s">
        <v>10</v>
      </c>
      <c r="BC27" s="3" t="s">
        <v>10</v>
      </c>
      <c r="BD27" s="3">
        <v>0</v>
      </c>
      <c r="BE27" s="3">
        <v>58.787669999999999</v>
      </c>
      <c r="BF27" s="3" t="s">
        <v>10</v>
      </c>
      <c r="BG27" s="19">
        <v>1.5</v>
      </c>
      <c r="BH27" s="19">
        <v>2.2000000000000002</v>
      </c>
      <c r="BI27" s="11"/>
      <c r="BJ27" s="6"/>
      <c r="BK27" s="6"/>
      <c r="BL27" s="15"/>
      <c r="BM27" s="15"/>
      <c r="BN27" s="15"/>
      <c r="BO27" s="15"/>
      <c r="BQ27" s="1"/>
      <c r="BR27" s="2" t="s">
        <v>18</v>
      </c>
      <c r="BS27" s="3" t="s">
        <v>10</v>
      </c>
      <c r="BT27" s="3" t="s">
        <v>10</v>
      </c>
      <c r="BU27" s="3">
        <v>0</v>
      </c>
      <c r="BV27" s="3">
        <v>60</v>
      </c>
      <c r="BW27" s="3" t="s">
        <v>10</v>
      </c>
      <c r="BX27" s="19">
        <v>1.5</v>
      </c>
      <c r="BY27" s="19">
        <v>2.2000000000000002</v>
      </c>
      <c r="BZ27" s="11"/>
      <c r="CA27" s="6"/>
      <c r="CB27" s="6"/>
      <c r="CC27" s="15"/>
      <c r="CD27" s="15"/>
      <c r="CE27" s="15"/>
      <c r="CF27" s="15"/>
      <c r="CI27" s="1"/>
      <c r="CJ27" s="2" t="s">
        <v>18</v>
      </c>
      <c r="CK27" s="3" t="s">
        <v>10</v>
      </c>
      <c r="CL27" s="3" t="s">
        <v>10</v>
      </c>
      <c r="CM27" s="3">
        <v>0</v>
      </c>
      <c r="CN27" s="3">
        <v>44.314793000000002</v>
      </c>
      <c r="CO27" s="3" t="s">
        <v>10</v>
      </c>
      <c r="CP27" s="3">
        <v>12.363614</v>
      </c>
      <c r="CQ27" s="3">
        <v>2.2000000000000002</v>
      </c>
      <c r="CR27" s="11"/>
      <c r="CS27" s="6"/>
      <c r="CT27" s="6"/>
      <c r="CU27" s="15"/>
      <c r="CV27" s="15"/>
      <c r="CW27" s="15"/>
      <c r="CX27" s="15"/>
      <c r="CZ27" s="1"/>
      <c r="DA27" s="2" t="s">
        <v>18</v>
      </c>
      <c r="DB27" s="3" t="s">
        <v>10</v>
      </c>
      <c r="DC27" s="3" t="s">
        <v>10</v>
      </c>
      <c r="DD27" s="3">
        <v>0</v>
      </c>
      <c r="DE27" s="3">
        <v>45.265152999999998</v>
      </c>
      <c r="DF27" s="3" t="s">
        <v>10</v>
      </c>
      <c r="DG27" s="3">
        <v>1.5</v>
      </c>
      <c r="DH27" s="3">
        <v>2.2000000000000002</v>
      </c>
      <c r="DI27" s="11"/>
      <c r="DJ27" s="6"/>
      <c r="DK27" s="6"/>
      <c r="DL27" s="15"/>
      <c r="DM27" s="15"/>
      <c r="DN27" s="15"/>
      <c r="DO27" s="15"/>
      <c r="DQ27" s="1"/>
      <c r="DR27" s="2" t="s">
        <v>18</v>
      </c>
      <c r="DS27" s="3" t="s">
        <v>10</v>
      </c>
      <c r="DT27" s="3" t="s">
        <v>10</v>
      </c>
      <c r="DU27" s="3">
        <v>0</v>
      </c>
      <c r="DV27" s="3">
        <v>65.765958999999995</v>
      </c>
      <c r="DW27" s="3" t="s">
        <v>10</v>
      </c>
      <c r="DX27" s="3">
        <v>1.5</v>
      </c>
      <c r="DY27" s="3">
        <v>2.2000000000000002</v>
      </c>
      <c r="DZ27" s="11"/>
      <c r="EA27" s="6"/>
      <c r="EB27" s="6"/>
      <c r="EC27" s="15"/>
      <c r="ED27" s="15"/>
      <c r="EE27" s="15"/>
      <c r="EF27" s="15"/>
    </row>
    <row r="28" spans="1:136">
      <c r="A28" s="1"/>
      <c r="B28" s="2" t="s">
        <v>19</v>
      </c>
      <c r="C28" s="3" t="s">
        <v>10</v>
      </c>
      <c r="D28" s="3" t="s">
        <v>10</v>
      </c>
      <c r="E28" s="3">
        <v>0</v>
      </c>
      <c r="F28" s="3">
        <v>0</v>
      </c>
      <c r="G28" s="3">
        <v>8</v>
      </c>
      <c r="H28" s="19">
        <v>61.678700999999997</v>
      </c>
      <c r="I28" s="19">
        <v>120</v>
      </c>
      <c r="J28" s="11"/>
      <c r="K28" s="6"/>
      <c r="L28" s="6"/>
      <c r="M28" s="15"/>
      <c r="N28" s="15"/>
      <c r="O28" s="15"/>
      <c r="P28" s="15"/>
      <c r="R28" s="1"/>
      <c r="S28" s="2" t="s">
        <v>19</v>
      </c>
      <c r="T28" s="3" t="s">
        <v>10</v>
      </c>
      <c r="U28" s="3" t="s">
        <v>10</v>
      </c>
      <c r="V28" s="3">
        <v>0</v>
      </c>
      <c r="W28" s="3">
        <v>0</v>
      </c>
      <c r="X28" s="3">
        <v>8</v>
      </c>
      <c r="Y28" s="19">
        <v>39.063001</v>
      </c>
      <c r="Z28" s="19">
        <v>120</v>
      </c>
      <c r="AA28" s="11"/>
      <c r="AB28" s="6"/>
      <c r="AC28" s="6"/>
      <c r="AD28" s="15"/>
      <c r="AE28" s="15"/>
      <c r="AF28" s="15"/>
      <c r="AG28" s="15"/>
      <c r="AI28" s="1"/>
      <c r="AJ28" s="2" t="s">
        <v>19</v>
      </c>
      <c r="AK28" s="3" t="s">
        <v>10</v>
      </c>
      <c r="AL28" s="3" t="s">
        <v>10</v>
      </c>
      <c r="AM28" s="3">
        <v>0</v>
      </c>
      <c r="AN28" s="3">
        <v>0</v>
      </c>
      <c r="AO28" s="3">
        <v>8</v>
      </c>
      <c r="AP28" s="3">
        <v>69.421200999999996</v>
      </c>
      <c r="AQ28" s="3">
        <v>120</v>
      </c>
      <c r="AR28" s="11"/>
      <c r="AS28" s="6"/>
      <c r="AT28" s="6"/>
      <c r="AU28" s="15"/>
      <c r="AV28" s="15"/>
      <c r="AW28" s="15"/>
      <c r="AX28" s="15"/>
      <c r="AZ28" s="1"/>
      <c r="BA28" s="2" t="s">
        <v>19</v>
      </c>
      <c r="BB28" s="3" t="s">
        <v>10</v>
      </c>
      <c r="BC28" s="3" t="s">
        <v>10</v>
      </c>
      <c r="BD28" s="3">
        <v>0</v>
      </c>
      <c r="BE28" s="3">
        <v>0</v>
      </c>
      <c r="BF28" s="3">
        <v>8</v>
      </c>
      <c r="BG28" s="19">
        <v>39.052238000000003</v>
      </c>
      <c r="BH28" s="19">
        <v>120</v>
      </c>
      <c r="BI28" s="11"/>
      <c r="BJ28" s="6"/>
      <c r="BK28" s="6"/>
      <c r="BL28" s="15"/>
      <c r="BM28" s="15"/>
      <c r="BN28" s="15"/>
      <c r="BO28" s="15"/>
      <c r="BQ28" s="1"/>
      <c r="BR28" s="2" t="s">
        <v>19</v>
      </c>
      <c r="BS28" s="3" t="s">
        <v>10</v>
      </c>
      <c r="BT28" s="3" t="s">
        <v>10</v>
      </c>
      <c r="BU28" s="3">
        <v>0</v>
      </c>
      <c r="BV28" s="3">
        <v>30</v>
      </c>
      <c r="BW28" s="3">
        <v>8</v>
      </c>
      <c r="BX28" s="3">
        <v>19.697641000000001</v>
      </c>
      <c r="BY28" s="3">
        <v>0</v>
      </c>
      <c r="BZ28" s="11"/>
      <c r="CA28" s="6"/>
      <c r="CB28" s="6"/>
      <c r="CC28" s="15"/>
      <c r="CD28" s="15"/>
      <c r="CE28" s="15"/>
      <c r="CF28" s="15"/>
      <c r="CI28" s="1"/>
      <c r="CJ28" s="2" t="s">
        <v>19</v>
      </c>
      <c r="CK28" s="3" t="s">
        <v>10</v>
      </c>
      <c r="CL28" s="3" t="s">
        <v>10</v>
      </c>
      <c r="CM28" s="3">
        <v>0</v>
      </c>
      <c r="CN28" s="3">
        <v>0</v>
      </c>
      <c r="CO28" s="3">
        <v>8</v>
      </c>
      <c r="CP28" s="3">
        <v>74.835718999999997</v>
      </c>
      <c r="CQ28" s="3">
        <v>120</v>
      </c>
      <c r="CR28" s="11"/>
      <c r="CS28" s="6"/>
      <c r="CT28" s="6"/>
      <c r="CU28" s="15"/>
      <c r="CV28" s="15"/>
      <c r="CW28" s="15"/>
      <c r="CX28" s="15"/>
      <c r="CZ28" s="1"/>
      <c r="DA28" s="2" t="s">
        <v>19</v>
      </c>
      <c r="DB28" s="3" t="s">
        <v>10</v>
      </c>
      <c r="DC28" s="3" t="s">
        <v>10</v>
      </c>
      <c r="DD28" s="3">
        <v>0</v>
      </c>
      <c r="DE28" s="3">
        <v>0</v>
      </c>
      <c r="DF28" s="3">
        <v>8</v>
      </c>
      <c r="DG28" s="3">
        <v>68.148403000000002</v>
      </c>
      <c r="DH28" s="3">
        <v>102.96243800000001</v>
      </c>
      <c r="DI28" s="11"/>
      <c r="DJ28" s="6"/>
      <c r="DK28" s="6"/>
      <c r="DL28" s="15"/>
      <c r="DM28" s="15"/>
      <c r="DN28" s="15"/>
      <c r="DO28" s="15"/>
      <c r="DQ28" s="1"/>
      <c r="DR28" s="2" t="s">
        <v>19</v>
      </c>
      <c r="DS28" s="3" t="s">
        <v>10</v>
      </c>
      <c r="DT28" s="3" t="s">
        <v>10</v>
      </c>
      <c r="DU28" s="3">
        <v>0</v>
      </c>
      <c r="DV28" s="3">
        <v>30</v>
      </c>
      <c r="DW28" s="3">
        <v>8</v>
      </c>
      <c r="DX28" s="3">
        <v>1.8</v>
      </c>
      <c r="DY28" s="3">
        <v>0</v>
      </c>
      <c r="DZ28" s="11"/>
      <c r="EA28" s="6"/>
      <c r="EB28" s="6"/>
      <c r="EC28" s="15"/>
      <c r="ED28" s="15"/>
      <c r="EE28" s="15"/>
      <c r="EF28" s="15"/>
    </row>
    <row r="29" spans="1:136" ht="88.5">
      <c r="A29" s="1"/>
      <c r="B29" s="8" t="s">
        <v>47</v>
      </c>
      <c r="J29" s="10" t="s">
        <v>48</v>
      </c>
      <c r="K29" s="10" t="s">
        <v>49</v>
      </c>
      <c r="L29" s="10" t="s">
        <v>95</v>
      </c>
      <c r="M29" s="10" t="s">
        <v>113</v>
      </c>
      <c r="N29" s="10" t="s">
        <v>110</v>
      </c>
      <c r="O29" s="15" t="s">
        <v>132</v>
      </c>
      <c r="P29" s="15" t="s">
        <v>133</v>
      </c>
      <c r="R29" s="1"/>
      <c r="S29" s="8" t="s">
        <v>47</v>
      </c>
      <c r="AA29" s="10" t="s">
        <v>48</v>
      </c>
      <c r="AB29" s="10" t="s">
        <v>49</v>
      </c>
      <c r="AC29" s="10" t="s">
        <v>95</v>
      </c>
      <c r="AD29" s="10" t="s">
        <v>113</v>
      </c>
      <c r="AE29" s="10" t="s">
        <v>110</v>
      </c>
      <c r="AF29" s="15" t="s">
        <v>132</v>
      </c>
      <c r="AG29" s="15" t="s">
        <v>133</v>
      </c>
      <c r="AI29" s="1"/>
      <c r="AJ29" s="8" t="s">
        <v>47</v>
      </c>
      <c r="AR29" s="10" t="s">
        <v>48</v>
      </c>
      <c r="AS29" s="10" t="s">
        <v>49</v>
      </c>
      <c r="AT29" s="10" t="s">
        <v>95</v>
      </c>
      <c r="AU29" s="10" t="s">
        <v>113</v>
      </c>
      <c r="AV29" s="10" t="s">
        <v>110</v>
      </c>
      <c r="AW29" s="15" t="s">
        <v>132</v>
      </c>
      <c r="AX29" s="15" t="s">
        <v>133</v>
      </c>
      <c r="AZ29" s="1"/>
      <c r="BA29" s="8" t="s">
        <v>47</v>
      </c>
      <c r="BI29" s="10" t="s">
        <v>48</v>
      </c>
      <c r="BJ29" s="10" t="s">
        <v>49</v>
      </c>
      <c r="BK29" s="10" t="s">
        <v>95</v>
      </c>
      <c r="BL29" s="10" t="s">
        <v>113</v>
      </c>
      <c r="BM29" s="10" t="s">
        <v>110</v>
      </c>
      <c r="BN29" s="15" t="s">
        <v>132</v>
      </c>
      <c r="BO29" s="15" t="s">
        <v>133</v>
      </c>
      <c r="BQ29" s="1"/>
      <c r="BR29" s="8" t="s">
        <v>47</v>
      </c>
      <c r="BZ29" s="10" t="s">
        <v>48</v>
      </c>
      <c r="CA29" s="10" t="s">
        <v>49</v>
      </c>
      <c r="CB29" s="10" t="s">
        <v>95</v>
      </c>
      <c r="CC29" s="10" t="s">
        <v>113</v>
      </c>
      <c r="CD29" s="10" t="s">
        <v>110</v>
      </c>
      <c r="CE29" s="15" t="s">
        <v>132</v>
      </c>
      <c r="CF29" s="15" t="s">
        <v>133</v>
      </c>
      <c r="CG29" s="10" t="s">
        <v>116</v>
      </c>
      <c r="CH29" s="10" t="s">
        <v>285</v>
      </c>
      <c r="CI29" s="1"/>
      <c r="CJ29" s="8" t="s">
        <v>47</v>
      </c>
      <c r="CR29" s="10" t="s">
        <v>48</v>
      </c>
      <c r="CS29" s="10" t="s">
        <v>49</v>
      </c>
      <c r="CT29" s="10" t="s">
        <v>95</v>
      </c>
      <c r="CU29" s="10" t="s">
        <v>113</v>
      </c>
      <c r="CV29" s="10" t="s">
        <v>110</v>
      </c>
      <c r="CW29" s="15" t="s">
        <v>132</v>
      </c>
      <c r="CX29" s="15" t="s">
        <v>133</v>
      </c>
      <c r="CZ29" s="1"/>
      <c r="DA29" s="8" t="s">
        <v>47</v>
      </c>
      <c r="DI29" s="10" t="s">
        <v>48</v>
      </c>
      <c r="DJ29" s="10" t="s">
        <v>49</v>
      </c>
      <c r="DK29" s="10" t="s">
        <v>95</v>
      </c>
      <c r="DL29" s="10" t="s">
        <v>113</v>
      </c>
      <c r="DM29" s="10" t="s">
        <v>110</v>
      </c>
      <c r="DN29" s="15" t="s">
        <v>132</v>
      </c>
      <c r="DO29" s="15" t="s">
        <v>133</v>
      </c>
      <c r="DQ29" s="1"/>
      <c r="DR29" s="8" t="s">
        <v>47</v>
      </c>
      <c r="DZ29" s="10" t="s">
        <v>48</v>
      </c>
      <c r="EA29" s="10" t="s">
        <v>49</v>
      </c>
      <c r="EB29" s="10" t="s">
        <v>95</v>
      </c>
      <c r="EC29" s="10" t="s">
        <v>113</v>
      </c>
      <c r="ED29" s="10" t="s">
        <v>110</v>
      </c>
      <c r="EE29" s="15" t="s">
        <v>132</v>
      </c>
      <c r="EF29" s="15" t="s">
        <v>133</v>
      </c>
    </row>
    <row r="30" spans="1:136" ht="17.75" customHeight="1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M30" s="10"/>
      <c r="N30" s="10"/>
      <c r="O30" s="15"/>
      <c r="P30" s="15"/>
      <c r="R30" s="1"/>
      <c r="S30" s="2" t="s">
        <v>0</v>
      </c>
      <c r="T30" s="2" t="s">
        <v>1</v>
      </c>
      <c r="U30" s="2" t="s">
        <v>2</v>
      </c>
      <c r="V30" s="2" t="s">
        <v>3</v>
      </c>
      <c r="W30" s="2" t="s">
        <v>4</v>
      </c>
      <c r="X30" s="2" t="s">
        <v>5</v>
      </c>
      <c r="Y30" s="2" t="s">
        <v>6</v>
      </c>
      <c r="Z30" s="2" t="s">
        <v>7</v>
      </c>
      <c r="AA30" s="10"/>
      <c r="AD30" s="10"/>
      <c r="AE30" s="10"/>
      <c r="AF30" s="15"/>
      <c r="AG30" s="15"/>
      <c r="AI30" s="1"/>
      <c r="AJ30" s="2" t="s">
        <v>0</v>
      </c>
      <c r="AK30" s="2" t="s">
        <v>1</v>
      </c>
      <c r="AL30" s="2" t="s">
        <v>2</v>
      </c>
      <c r="AM30" s="2" t="s">
        <v>3</v>
      </c>
      <c r="AN30" s="2" t="s">
        <v>4</v>
      </c>
      <c r="AO30" s="2" t="s">
        <v>5</v>
      </c>
      <c r="AP30" s="2" t="s">
        <v>6</v>
      </c>
      <c r="AQ30" s="2" t="s">
        <v>7</v>
      </c>
      <c r="AR30" s="10"/>
      <c r="AU30" s="10"/>
      <c r="AV30" s="10"/>
      <c r="AW30" s="15"/>
      <c r="AX30" s="15"/>
      <c r="AZ30" s="1"/>
      <c r="BA30" s="2" t="s">
        <v>0</v>
      </c>
      <c r="BB30" s="2" t="s">
        <v>1</v>
      </c>
      <c r="BC30" s="2" t="s">
        <v>2</v>
      </c>
      <c r="BD30" s="2" t="s">
        <v>3</v>
      </c>
      <c r="BE30" s="2" t="s">
        <v>4</v>
      </c>
      <c r="BF30" s="2" t="s">
        <v>5</v>
      </c>
      <c r="BG30" s="2" t="s">
        <v>6</v>
      </c>
      <c r="BH30" s="2" t="s">
        <v>7</v>
      </c>
      <c r="BI30" s="10"/>
      <c r="BL30" s="10"/>
      <c r="BM30" s="10"/>
      <c r="BN30" s="15"/>
      <c r="BO30" s="15"/>
      <c r="BQ30" s="1"/>
      <c r="BR30" s="2" t="s">
        <v>0</v>
      </c>
      <c r="BS30" s="2" t="s">
        <v>1</v>
      </c>
      <c r="BT30" s="2" t="s">
        <v>2</v>
      </c>
      <c r="BU30" s="2" t="s">
        <v>3</v>
      </c>
      <c r="BV30" s="2" t="s">
        <v>4</v>
      </c>
      <c r="BW30" s="2" t="s">
        <v>5</v>
      </c>
      <c r="BX30" s="2" t="s">
        <v>6</v>
      </c>
      <c r="BY30" s="2" t="s">
        <v>7</v>
      </c>
      <c r="BZ30" s="10"/>
      <c r="CC30" s="10"/>
      <c r="CD30" s="10"/>
      <c r="CE30" s="15"/>
      <c r="CF30" s="15"/>
      <c r="CG30" s="10"/>
      <c r="CH30" s="10"/>
      <c r="CI30" s="1"/>
      <c r="CJ30" s="2" t="s">
        <v>0</v>
      </c>
      <c r="CK30" s="2" t="s">
        <v>1</v>
      </c>
      <c r="CL30" s="2" t="s">
        <v>2</v>
      </c>
      <c r="CM30" s="2" t="s">
        <v>3</v>
      </c>
      <c r="CN30" s="2" t="s">
        <v>4</v>
      </c>
      <c r="CO30" s="2" t="s">
        <v>5</v>
      </c>
      <c r="CP30" s="2" t="s">
        <v>6</v>
      </c>
      <c r="CQ30" s="2" t="s">
        <v>7</v>
      </c>
      <c r="CR30" s="10"/>
      <c r="CU30" s="10"/>
      <c r="CV30" s="10"/>
      <c r="CW30" s="15"/>
      <c r="CX30" s="15"/>
      <c r="CZ30" s="1"/>
      <c r="DA30" s="2" t="s">
        <v>0</v>
      </c>
      <c r="DB30" s="2" t="s">
        <v>1</v>
      </c>
      <c r="DC30" s="2" t="s">
        <v>2</v>
      </c>
      <c r="DD30" s="2" t="s">
        <v>3</v>
      </c>
      <c r="DE30" s="2" t="s">
        <v>4</v>
      </c>
      <c r="DF30" s="2" t="s">
        <v>5</v>
      </c>
      <c r="DG30" s="2" t="s">
        <v>6</v>
      </c>
      <c r="DH30" s="2" t="s">
        <v>7</v>
      </c>
      <c r="DI30" s="10"/>
      <c r="DL30" s="10"/>
      <c r="DM30" s="10"/>
      <c r="DN30" s="15"/>
      <c r="DO30" s="15"/>
      <c r="DQ30" s="1"/>
      <c r="DR30" s="2" t="s">
        <v>0</v>
      </c>
      <c r="DS30" s="2" t="s">
        <v>1</v>
      </c>
      <c r="DT30" s="2" t="s">
        <v>2</v>
      </c>
      <c r="DU30" s="2" t="s">
        <v>3</v>
      </c>
      <c r="DV30" s="2" t="s">
        <v>4</v>
      </c>
      <c r="DW30" s="2" t="s">
        <v>5</v>
      </c>
      <c r="DX30" s="2" t="s">
        <v>6</v>
      </c>
      <c r="DY30" s="2" t="s">
        <v>7</v>
      </c>
      <c r="DZ30" s="10"/>
      <c r="EC30" s="10"/>
      <c r="ED30" s="10"/>
      <c r="EE30" s="15"/>
      <c r="EF30" s="15"/>
    </row>
    <row r="31" spans="1:136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M31" s="10"/>
      <c r="N31" s="10"/>
      <c r="O31" s="16"/>
      <c r="P31" s="16"/>
      <c r="R31" s="1"/>
      <c r="S31" s="2" t="s">
        <v>8</v>
      </c>
      <c r="T31" s="2"/>
      <c r="U31" s="2"/>
      <c r="V31" s="2"/>
      <c r="W31" s="2"/>
      <c r="X31" s="2"/>
      <c r="Y31" s="2"/>
      <c r="Z31" s="2"/>
      <c r="AA31" s="10"/>
      <c r="AD31" s="10"/>
      <c r="AE31" s="10"/>
      <c r="AF31" s="16"/>
      <c r="AG31" s="16"/>
      <c r="AI31" s="1"/>
      <c r="AJ31" s="2" t="s">
        <v>8</v>
      </c>
      <c r="AK31" s="2"/>
      <c r="AL31" s="2"/>
      <c r="AM31" s="2"/>
      <c r="AN31" s="2"/>
      <c r="AO31" s="2"/>
      <c r="AP31" s="2"/>
      <c r="AQ31" s="2"/>
      <c r="AR31" s="10"/>
      <c r="AU31" s="10"/>
      <c r="AV31" s="10"/>
      <c r="AW31" s="16"/>
      <c r="AX31" s="16"/>
      <c r="AZ31" s="1"/>
      <c r="BA31" s="2" t="s">
        <v>8</v>
      </c>
      <c r="BB31" s="2"/>
      <c r="BC31" s="2"/>
      <c r="BD31" s="2"/>
      <c r="BE31" s="2"/>
      <c r="BF31" s="2"/>
      <c r="BG31" s="2"/>
      <c r="BH31" s="2"/>
      <c r="BI31" s="10"/>
      <c r="BL31" s="10"/>
      <c r="BM31" s="10"/>
      <c r="BN31" s="16"/>
      <c r="BO31" s="16"/>
      <c r="BQ31" s="1"/>
      <c r="BR31" s="2" t="s">
        <v>8</v>
      </c>
      <c r="BS31" s="2"/>
      <c r="BT31" s="2"/>
      <c r="BU31" s="2"/>
      <c r="BV31" s="2"/>
      <c r="BW31" s="2"/>
      <c r="BX31" s="2"/>
      <c r="BY31" s="2"/>
      <c r="BZ31" s="10"/>
      <c r="CC31" s="10"/>
      <c r="CD31" s="10"/>
      <c r="CE31" s="16"/>
      <c r="CF31" s="16"/>
      <c r="CG31" s="10"/>
      <c r="CH31" s="10"/>
      <c r="CI31" s="1"/>
      <c r="CJ31" s="2" t="s">
        <v>8</v>
      </c>
      <c r="CK31" s="2"/>
      <c r="CL31" s="2"/>
      <c r="CM31" s="2"/>
      <c r="CN31" s="2"/>
      <c r="CO31" s="2"/>
      <c r="CP31" s="2"/>
      <c r="CQ31" s="2"/>
      <c r="CR31" s="10"/>
      <c r="CU31" s="10"/>
      <c r="CV31" s="10"/>
      <c r="CW31" s="16"/>
      <c r="CX31" s="16"/>
      <c r="CZ31" s="1"/>
      <c r="DA31" s="2" t="s">
        <v>8</v>
      </c>
      <c r="DB31" s="2"/>
      <c r="DC31" s="2"/>
      <c r="DD31" s="2"/>
      <c r="DE31" s="2"/>
      <c r="DF31" s="2"/>
      <c r="DG31" s="2"/>
      <c r="DH31" s="2"/>
      <c r="DI31" s="10"/>
      <c r="DL31" s="10"/>
      <c r="DM31" s="10"/>
      <c r="DN31" s="16"/>
      <c r="DO31" s="16"/>
      <c r="DQ31" s="1"/>
      <c r="DR31" s="2" t="s">
        <v>8</v>
      </c>
      <c r="DS31" s="2"/>
      <c r="DT31" s="2"/>
      <c r="DU31" s="2"/>
      <c r="DV31" s="2"/>
      <c r="DW31" s="2"/>
      <c r="DX31" s="2"/>
      <c r="DY31" s="2"/>
      <c r="DZ31" s="10"/>
      <c r="EC31" s="10"/>
      <c r="ED31" s="10"/>
      <c r="EE31" s="16"/>
      <c r="EF31" s="16"/>
    </row>
    <row r="32" spans="1:136">
      <c r="A32" s="1"/>
      <c r="B32" s="2" t="s">
        <v>9</v>
      </c>
      <c r="C32" s="3" t="s">
        <v>10</v>
      </c>
      <c r="D32" s="3" t="s">
        <v>10</v>
      </c>
      <c r="E32" s="3">
        <v>0</v>
      </c>
      <c r="F32" s="3" t="s">
        <v>10</v>
      </c>
      <c r="G32" s="3" t="s">
        <v>10</v>
      </c>
      <c r="H32" s="19">
        <v>352.06797599999999</v>
      </c>
      <c r="I32" s="19">
        <v>0</v>
      </c>
      <c r="J32" s="12">
        <f>H32/$L32</f>
        <v>1</v>
      </c>
      <c r="K32" s="12">
        <f>I32/$L32</f>
        <v>0</v>
      </c>
      <c r="L32" s="17">
        <f>SUM(C32:I32)</f>
        <v>352.06797599999999</v>
      </c>
      <c r="M32" s="24">
        <f>(0-'2. Diesel-battery-storage'!$M32)</f>
        <v>-75.873287160000004</v>
      </c>
      <c r="N32" s="24">
        <f>-(L5-'2. Diesel-battery-storage'!$G5)*L32/M32</f>
        <v>-100.89589919143944</v>
      </c>
      <c r="O32" s="16">
        <f>L32-'2. Diesel-battery-storage'!$L32</f>
        <v>-84.948063999999988</v>
      </c>
      <c r="P32" s="38">
        <f>O32/(L32-O32)</f>
        <v>-0.19438202771687738</v>
      </c>
      <c r="R32" s="1"/>
      <c r="S32" s="2" t="s">
        <v>9</v>
      </c>
      <c r="T32" s="3" t="s">
        <v>10</v>
      </c>
      <c r="U32" s="3" t="s">
        <v>10</v>
      </c>
      <c r="V32" s="3">
        <v>0</v>
      </c>
      <c r="W32" s="3" t="s">
        <v>10</v>
      </c>
      <c r="X32" s="3" t="s">
        <v>10</v>
      </c>
      <c r="Y32" s="19">
        <v>348.03250500000001</v>
      </c>
      <c r="Z32" s="19">
        <v>0</v>
      </c>
      <c r="AA32" s="12">
        <f>Y32/$L32</f>
        <v>0.9885378072557216</v>
      </c>
      <c r="AB32" s="12">
        <f>Z32/$L32</f>
        <v>0</v>
      </c>
      <c r="AC32" s="17">
        <f>SUM(T32:Z32)</f>
        <v>348.03250500000001</v>
      </c>
      <c r="AD32" s="24">
        <f>(0-'2. Diesel-battery-storage'!$M32)</f>
        <v>-75.873287160000004</v>
      </c>
      <c r="AE32" s="24">
        <f>-(AC5-'2. Diesel-battery-storage'!$G5)*AC32/AD32</f>
        <v>-89.470792241000012</v>
      </c>
      <c r="AF32" s="16">
        <f>AC32-'2. Diesel-battery-storage'!$L32</f>
        <v>-88.983534999999961</v>
      </c>
      <c r="AG32" s="38">
        <f>AF32/(AC32-AF32)</f>
        <v>-0.20361617619344125</v>
      </c>
      <c r="AI32" s="1"/>
      <c r="AJ32" s="2" t="s">
        <v>9</v>
      </c>
      <c r="AK32" s="3" t="s">
        <v>10</v>
      </c>
      <c r="AL32" s="3" t="s">
        <v>10</v>
      </c>
      <c r="AM32" s="3">
        <v>0</v>
      </c>
      <c r="AN32" s="3" t="s">
        <v>10</v>
      </c>
      <c r="AO32" s="3" t="s">
        <v>10</v>
      </c>
      <c r="AP32" s="19">
        <v>356.48189000000002</v>
      </c>
      <c r="AQ32" s="19">
        <v>0</v>
      </c>
      <c r="AR32" s="12">
        <f>AP32/$L32</f>
        <v>1.0125371073227065</v>
      </c>
      <c r="AS32" s="12">
        <f>AQ32/$L32</f>
        <v>0</v>
      </c>
      <c r="AT32" s="17">
        <f>SUM(AK32:AQ32)</f>
        <v>356.48189000000002</v>
      </c>
      <c r="AU32" s="24">
        <f>(0-'2. Diesel-battery-storage'!$M32)</f>
        <v>-75.873287160000004</v>
      </c>
      <c r="AV32" s="24">
        <f>-(AT5-'2. Diesel-battery-storage'!$G5)*AT32/AU32</f>
        <v>-40.598984434592431</v>
      </c>
      <c r="AW32" s="16">
        <f>AT32-'2. Diesel-battery-storage'!$L32</f>
        <v>-80.534149999999954</v>
      </c>
      <c r="AX32" s="38">
        <f>AW32/(AT32-AW32)</f>
        <v>-0.18428190873726272</v>
      </c>
      <c r="AZ32" s="1"/>
      <c r="BA32" s="2" t="s">
        <v>9</v>
      </c>
      <c r="BB32" s="3" t="s">
        <v>10</v>
      </c>
      <c r="BC32" s="3" t="s">
        <v>10</v>
      </c>
      <c r="BD32" s="3">
        <v>0</v>
      </c>
      <c r="BE32" s="3" t="s">
        <v>10</v>
      </c>
      <c r="BF32" s="3" t="s">
        <v>10</v>
      </c>
      <c r="BG32" s="3">
        <v>361.10502000000002</v>
      </c>
      <c r="BH32" s="3">
        <v>0</v>
      </c>
      <c r="BI32" s="12">
        <f>BG32/$L32</f>
        <v>1.0256684635242146</v>
      </c>
      <c r="BJ32" s="12">
        <f>BH32/$L32</f>
        <v>0</v>
      </c>
      <c r="BK32" s="17">
        <f>SUM(BB32:BH32)</f>
        <v>361.10502000000002</v>
      </c>
      <c r="BL32" s="24">
        <f>(0-'2. Diesel-battery-storage'!$M32)</f>
        <v>-75.873287160000004</v>
      </c>
      <c r="BM32" s="24">
        <f>-(BK5-'2. Diesel-battery-storage'!$G5)*BK32/BL32</f>
        <v>-34.865376122353815</v>
      </c>
      <c r="BN32" s="16">
        <f>BK32-'2. Diesel-battery-storage'!$L32</f>
        <v>-75.911019999999951</v>
      </c>
      <c r="BO32" s="38">
        <f>BN32/(BK32-BN32)</f>
        <v>-0.17370305218087637</v>
      </c>
      <c r="BQ32" s="1"/>
      <c r="BR32" s="2" t="s">
        <v>9</v>
      </c>
      <c r="BS32" s="3" t="s">
        <v>10</v>
      </c>
      <c r="BT32" s="3" t="s">
        <v>10</v>
      </c>
      <c r="BU32" s="3">
        <v>0</v>
      </c>
      <c r="BV32" s="3" t="s">
        <v>10</v>
      </c>
      <c r="BW32" s="3" t="s">
        <v>10</v>
      </c>
      <c r="BX32" s="19">
        <v>415.89632</v>
      </c>
      <c r="BY32" s="19">
        <v>0</v>
      </c>
      <c r="BZ32" s="12">
        <f>BX32/$L32</f>
        <v>1.1812955120916764</v>
      </c>
      <c r="CA32" s="12">
        <f>BY32/$L32</f>
        <v>0</v>
      </c>
      <c r="CB32" s="17">
        <f>SUM(BS32:BY32)</f>
        <v>415.89632</v>
      </c>
      <c r="CC32" s="24">
        <f>(0-'2. Diesel-battery-storage'!$M32)</f>
        <v>-75.873287160000004</v>
      </c>
      <c r="CD32" s="24">
        <f>-(BX5-'2. Diesel-battery-storage'!$G5)*CB32/CC32</f>
        <v>-114.19201357374983</v>
      </c>
      <c r="CE32" s="16">
        <f>CB32-'2. Diesel-battery-storage'!$L32</f>
        <v>-21.119719999999973</v>
      </c>
      <c r="CF32" s="38">
        <f t="shared" ref="CF32:CF41" si="23">CE32/(CB32-CE32)</f>
        <v>-4.8327104881550738E-2</v>
      </c>
      <c r="CG32" s="29">
        <f>-CD32*CC32/1000+'2. Diesel-battery-storage'!$AJ32</f>
        <v>-51.098401898029664</v>
      </c>
      <c r="CH32" s="41">
        <f>CG32/'0. Current system'!$L32*1000</f>
        <v>-181.60484147968666</v>
      </c>
      <c r="CI32" s="1"/>
      <c r="CJ32" s="2" t="s">
        <v>9</v>
      </c>
      <c r="CK32" s="3" t="s">
        <v>10</v>
      </c>
      <c r="CL32" s="3" t="s">
        <v>10</v>
      </c>
      <c r="CM32" s="3">
        <v>0</v>
      </c>
      <c r="CN32" s="3" t="s">
        <v>10</v>
      </c>
      <c r="CO32" s="3" t="s">
        <v>10</v>
      </c>
      <c r="CP32" s="3">
        <v>390.08928500000002</v>
      </c>
      <c r="CQ32" s="3">
        <v>0</v>
      </c>
      <c r="CR32" s="12">
        <f>CP32/$L32</f>
        <v>1.1079942272284373</v>
      </c>
      <c r="CS32" s="12">
        <f>CQ32/$L32</f>
        <v>0</v>
      </c>
      <c r="CT32" s="17">
        <f>SUM(CK32:CQ32)</f>
        <v>390.08928500000002</v>
      </c>
      <c r="CU32" s="24">
        <f>(0-'2. Diesel-battery-storage'!$M32)</f>
        <v>-75.873287160000004</v>
      </c>
      <c r="CV32" s="24">
        <f>-(CU5-'2. Diesel-battery-storage'!$G5)*CT32/CU32</f>
        <v>-539.94039016429622</v>
      </c>
      <c r="CW32" s="16">
        <f>CT32-'2. Diesel-battery-storage'!$L32</f>
        <v>-46.926754999999957</v>
      </c>
      <c r="CX32" s="38">
        <f t="shared" ref="CX32:CX41" si="24">CW32/(CT32-CW32)</f>
        <v>-0.10737993735882088</v>
      </c>
      <c r="CZ32" s="1"/>
      <c r="DA32" s="2" t="s">
        <v>9</v>
      </c>
      <c r="DB32" s="3" t="s">
        <v>10</v>
      </c>
      <c r="DC32" s="3" t="s">
        <v>10</v>
      </c>
      <c r="DD32" s="3">
        <v>0</v>
      </c>
      <c r="DE32" s="3" t="s">
        <v>10</v>
      </c>
      <c r="DF32" s="3" t="s">
        <v>10</v>
      </c>
      <c r="DG32" s="3">
        <v>339.594853</v>
      </c>
      <c r="DH32" s="3">
        <v>144.46909600000001</v>
      </c>
      <c r="DI32" s="12">
        <f>DG32/$L32</f>
        <v>0.96457183313940487</v>
      </c>
      <c r="DJ32" s="12">
        <f>DH32/$L32</f>
        <v>0.41034432509703755</v>
      </c>
      <c r="DK32" s="17">
        <f>SUM(DB32:DH32)</f>
        <v>484.06394899999998</v>
      </c>
      <c r="DL32" s="24">
        <f>(0-'2. Diesel-battery-storage'!$M32)</f>
        <v>-75.873287160000004</v>
      </c>
      <c r="DM32" s="24">
        <f>-(DL5-'2. Diesel-battery-storage'!$G5)*DK32/DL32</f>
        <v>-670.01501332580813</v>
      </c>
      <c r="DN32" s="16">
        <f>DK32-'2. Diesel-battery-storage'!$L32</f>
        <v>47.047909000000004</v>
      </c>
      <c r="DO32" s="38">
        <f t="shared" ref="DO32:DO41" si="25">DN32/(DK32-DN32)</f>
        <v>0.10765716745774367</v>
      </c>
      <c r="DQ32" s="1"/>
      <c r="DR32" s="2" t="s">
        <v>9</v>
      </c>
      <c r="DS32" s="3" t="s">
        <v>10</v>
      </c>
      <c r="DT32" s="3" t="s">
        <v>10</v>
      </c>
      <c r="DU32" s="3">
        <v>0</v>
      </c>
      <c r="DV32" s="3" t="s">
        <v>10</v>
      </c>
      <c r="DW32" s="3" t="s">
        <v>10</v>
      </c>
      <c r="DX32" s="3">
        <v>361.006573</v>
      </c>
      <c r="DY32" s="3">
        <v>0</v>
      </c>
      <c r="DZ32" s="12">
        <f>DX32/$L32</f>
        <v>1.0253888385463381</v>
      </c>
      <c r="EA32" s="12">
        <f>DY32/$L32</f>
        <v>0</v>
      </c>
      <c r="EB32" s="17">
        <f>SUM(DS32:DY32)</f>
        <v>361.006573</v>
      </c>
      <c r="EC32" s="24">
        <f>(0-'2. Diesel-battery-storage'!$M32)</f>
        <v>-75.873287160000004</v>
      </c>
      <c r="ED32" s="24">
        <f>-(EC5-'2. Diesel-battery-storage'!$G5)*EB32/EC32</f>
        <v>-499.68568061923435</v>
      </c>
      <c r="EE32" s="16">
        <f>EB32-'2. Diesel-battery-storage'!$L32</f>
        <v>-76.009466999999972</v>
      </c>
      <c r="EF32" s="38">
        <f t="shared" ref="EF32:EF41" si="26">EE32/(EB32-EE32)</f>
        <v>-0.17392832308855294</v>
      </c>
    </row>
    <row r="33" spans="1:136">
      <c r="A33" s="1"/>
      <c r="B33" s="2" t="s">
        <v>11</v>
      </c>
      <c r="C33" s="3">
        <v>2.679716</v>
      </c>
      <c r="D33" s="3" t="s">
        <v>10</v>
      </c>
      <c r="E33" s="3">
        <v>0</v>
      </c>
      <c r="F33" s="3" t="s">
        <v>10</v>
      </c>
      <c r="G33" s="3" t="s">
        <v>10</v>
      </c>
      <c r="H33" s="19">
        <v>667.22265000000004</v>
      </c>
      <c r="I33" s="19">
        <v>586.78352199999995</v>
      </c>
      <c r="J33" s="12">
        <f t="shared" ref="J33:K41" si="27">H33/$L33</f>
        <v>0.53093828487393668</v>
      </c>
      <c r="K33" s="12">
        <f t="shared" si="27"/>
        <v>0.46692934774166889</v>
      </c>
      <c r="L33" s="17">
        <f t="shared" ref="L33:L41" si="28">SUM(C33:I33)</f>
        <v>1256.685888</v>
      </c>
      <c r="M33" s="24">
        <f>(0-'2. Diesel-battery-storage'!$M33)</f>
        <v>-127.85383050000002</v>
      </c>
      <c r="N33" s="24">
        <f>-(L6-'2. Diesel-battery-storage'!$G6)*L33/M33</f>
        <v>-264.9049106270553</v>
      </c>
      <c r="O33" s="16">
        <f>L33-'2. Diesel-battery-storage'!$L33</f>
        <v>54.763787999999977</v>
      </c>
      <c r="P33" s="38">
        <f t="shared" ref="P33:P41" si="29">O33/(L33-O33)</f>
        <v>4.5563508650019811E-2</v>
      </c>
      <c r="R33" s="1"/>
      <c r="S33" s="2" t="s">
        <v>11</v>
      </c>
      <c r="T33" s="3">
        <v>2.4504069999999998</v>
      </c>
      <c r="U33" s="3" t="s">
        <v>10</v>
      </c>
      <c r="V33" s="3">
        <v>0</v>
      </c>
      <c r="W33" s="3" t="s">
        <v>10</v>
      </c>
      <c r="X33" s="3" t="s">
        <v>10</v>
      </c>
      <c r="Y33" s="19">
        <v>665.35232900000005</v>
      </c>
      <c r="Z33" s="19">
        <v>586.94104900000002</v>
      </c>
      <c r="AA33" s="12">
        <f t="shared" ref="AA33:AA41" si="30">Y33/$L33</f>
        <v>0.52944998854001624</v>
      </c>
      <c r="AB33" s="12">
        <f t="shared" ref="AB33:AB41" si="31">Z33/$L33</f>
        <v>0.46705469887475975</v>
      </c>
      <c r="AC33" s="17">
        <f t="shared" ref="AC33:AC41" si="32">SUM(T33:Z33)</f>
        <v>1254.7437850000001</v>
      </c>
      <c r="AD33" s="24">
        <f>(0-'2. Diesel-battery-storage'!$M33)</f>
        <v>-127.85383050000002</v>
      </c>
      <c r="AE33" s="24">
        <f>-(AC6-'2. Diesel-battery-storage'!$G6)*AC33/AD33</f>
        <v>-244.87332982695847</v>
      </c>
      <c r="AF33" s="16">
        <f>AC33-'2. Diesel-battery-storage'!$L33</f>
        <v>52.821685000000116</v>
      </c>
      <c r="AG33" s="38">
        <f t="shared" ref="AG33:AG41" si="33">AF33/(AC33-AF33)</f>
        <v>4.3947677640672485E-2</v>
      </c>
      <c r="AI33" s="1"/>
      <c r="AJ33" s="2" t="s">
        <v>11</v>
      </c>
      <c r="AK33" s="3">
        <v>2.6296170000000001</v>
      </c>
      <c r="AL33" s="3" t="s">
        <v>10</v>
      </c>
      <c r="AM33" s="3">
        <v>0</v>
      </c>
      <c r="AN33" s="3" t="s">
        <v>10</v>
      </c>
      <c r="AO33" s="3" t="s">
        <v>10</v>
      </c>
      <c r="AP33" s="19">
        <v>667.23429499999997</v>
      </c>
      <c r="AQ33" s="19">
        <v>586.86152400000003</v>
      </c>
      <c r="AR33" s="12">
        <f t="shared" ref="AR33:AR41" si="34">AP33/$L33</f>
        <v>0.53094755131045124</v>
      </c>
      <c r="AS33" s="12">
        <f t="shared" ref="AS33:AS41" si="35">AQ33/$L33</f>
        <v>0.46699141734931304</v>
      </c>
      <c r="AT33" s="17">
        <f t="shared" ref="AT33:AT41" si="36">SUM(AK33:AQ33)</f>
        <v>1256.7254360000002</v>
      </c>
      <c r="AU33" s="24">
        <f>(0-'2. Diesel-battery-storage'!$M33)</f>
        <v>-127.85383050000002</v>
      </c>
      <c r="AV33" s="24">
        <f>-(AT6-'2. Diesel-battery-storage'!$G6)*AT33/AU33</f>
        <v>-216.97810905517113</v>
      </c>
      <c r="AW33" s="16">
        <f>AT33-'2. Diesel-battery-storage'!$L33</f>
        <v>54.803336000000172</v>
      </c>
      <c r="AX33" s="38">
        <f t="shared" ref="AX33:AX41" si="37">AW33/(AT33-AW33)</f>
        <v>4.5596412612764314E-2</v>
      </c>
      <c r="AZ33" s="1"/>
      <c r="BA33" s="2" t="s">
        <v>11</v>
      </c>
      <c r="BB33" s="3">
        <v>2.441713</v>
      </c>
      <c r="BC33" s="3" t="s">
        <v>10</v>
      </c>
      <c r="BD33" s="3">
        <v>0</v>
      </c>
      <c r="BE33" s="3" t="s">
        <v>10</v>
      </c>
      <c r="BF33" s="3" t="s">
        <v>10</v>
      </c>
      <c r="BG33" s="3">
        <v>665.36695899999995</v>
      </c>
      <c r="BH33" s="3">
        <v>586.94815500000004</v>
      </c>
      <c r="BI33" s="12">
        <f t="shared" ref="BI33:BI41" si="38">BG33/$L33</f>
        <v>0.52946163027176441</v>
      </c>
      <c r="BJ33" s="12">
        <f t="shared" ref="BJ33:BJ41" si="39">BH33/$L33</f>
        <v>0.46706035343018037</v>
      </c>
      <c r="BK33" s="17">
        <f t="shared" ref="BK33:BK41" si="40">SUM(BB33:BH33)</f>
        <v>1254.7568270000002</v>
      </c>
      <c r="BL33" s="24">
        <f>(0-'2. Diesel-battery-storage'!$M33)</f>
        <v>-127.85383050000002</v>
      </c>
      <c r="BM33" s="24">
        <f>-(BK6-'2. Diesel-battery-storage'!$G6)*BK33/BL33</f>
        <v>-196.9126843860935</v>
      </c>
      <c r="BN33" s="16">
        <f>BK33-'2. Diesel-battery-storage'!$L33</f>
        <v>52.834727000000157</v>
      </c>
      <c r="BO33" s="38">
        <f t="shared" ref="BO33:BO41" si="41">BN33/(BK33-BN33)</f>
        <v>4.3958528593492169E-2</v>
      </c>
      <c r="BQ33" s="1"/>
      <c r="BR33" s="2" t="s">
        <v>11</v>
      </c>
      <c r="BS33" s="3">
        <v>4.1114769999999998</v>
      </c>
      <c r="BT33" s="3" t="s">
        <v>10</v>
      </c>
      <c r="BU33" s="3">
        <v>0</v>
      </c>
      <c r="BV33" s="3" t="s">
        <v>10</v>
      </c>
      <c r="BW33" s="3" t="s">
        <v>10</v>
      </c>
      <c r="BX33" s="19">
        <v>916.07755399999996</v>
      </c>
      <c r="BY33" s="19">
        <v>359.49863399999998</v>
      </c>
      <c r="BZ33" s="12">
        <f t="shared" ref="BZ33:BZ41" si="42">BX33/$L33</f>
        <v>0.72896303105458282</v>
      </c>
      <c r="CA33" s="12">
        <f t="shared" ref="CA33:CA41" si="43">BY33/$L33</f>
        <v>0.2860688079915798</v>
      </c>
      <c r="CB33" s="17">
        <f t="shared" ref="CB33:CB41" si="44">SUM(BS33:BY33)</f>
        <v>1279.6876649999999</v>
      </c>
      <c r="CC33" s="24">
        <f>(0-'2. Diesel-battery-storage'!$M33)</f>
        <v>-127.85383050000002</v>
      </c>
      <c r="CD33" s="24">
        <f>-(BX6-'2. Diesel-battery-storage'!$G6)*CB33/CC33</f>
        <v>-325.45248179031478</v>
      </c>
      <c r="CE33" s="16">
        <f>CB33-'2. Diesel-battery-storage'!$L33</f>
        <v>77.765564999999924</v>
      </c>
      <c r="CF33" s="38">
        <f t="shared" si="23"/>
        <v>6.4701002668974911E-2</v>
      </c>
      <c r="CG33" s="29">
        <f>-CD33*CC33/1000+'2. Diesel-battery-storage'!$AJ33</f>
        <v>-142.23384037693475</v>
      </c>
      <c r="CH33" s="41">
        <f>CG33/'0. Current system'!$L33*1000</f>
        <v>-213.12356784130347</v>
      </c>
      <c r="CI33" s="1"/>
      <c r="CJ33" s="2" t="s">
        <v>11</v>
      </c>
      <c r="CK33" s="3">
        <v>2.145168</v>
      </c>
      <c r="CL33" s="3" t="s">
        <v>10</v>
      </c>
      <c r="CM33" s="3">
        <v>0</v>
      </c>
      <c r="CN33" s="3" t="s">
        <v>10</v>
      </c>
      <c r="CO33" s="3" t="s">
        <v>10</v>
      </c>
      <c r="CP33" s="3">
        <v>536.27245500000004</v>
      </c>
      <c r="CQ33" s="3">
        <v>500.969719</v>
      </c>
      <c r="CR33" s="12">
        <f t="shared" ref="CR33:CR41" si="45">CP33/$L33</f>
        <v>0.42673547950273477</v>
      </c>
      <c r="CS33" s="12">
        <f t="shared" ref="CS33:CS41" si="46">CQ33/$L33</f>
        <v>0.39864354631791649</v>
      </c>
      <c r="CT33" s="17">
        <f t="shared" ref="CT33:CT41" si="47">SUM(CK33:CQ33)</f>
        <v>1039.387342</v>
      </c>
      <c r="CU33" s="24">
        <f>(0-'2. Diesel-battery-storage'!$M33)</f>
        <v>-127.85383050000002</v>
      </c>
      <c r="CV33" s="24">
        <f>-(CU6-'2. Diesel-battery-storage'!$G6)*CT33/CU33</f>
        <v>-743.84495892178768</v>
      </c>
      <c r="CW33" s="16">
        <f>CT33-'2. Diesel-battery-storage'!$L33</f>
        <v>-162.53475800000001</v>
      </c>
      <c r="CX33" s="38">
        <f t="shared" si="24"/>
        <v>-0.13522902857015442</v>
      </c>
      <c r="CZ33" s="1"/>
      <c r="DA33" s="2" t="s">
        <v>11</v>
      </c>
      <c r="DB33" s="3">
        <v>2.3072300000000001</v>
      </c>
      <c r="DC33" s="3" t="s">
        <v>10</v>
      </c>
      <c r="DD33" s="3">
        <v>0</v>
      </c>
      <c r="DE33" s="3" t="s">
        <v>10</v>
      </c>
      <c r="DF33" s="3" t="s">
        <v>10</v>
      </c>
      <c r="DG33" s="3">
        <v>560.87674200000004</v>
      </c>
      <c r="DH33" s="3">
        <v>524.62092500000006</v>
      </c>
      <c r="DI33" s="12">
        <f t="shared" ref="DI33:DI41" si="48">DG33/$L33</f>
        <v>0.44631418825958841</v>
      </c>
      <c r="DJ33" s="12">
        <f t="shared" ref="DJ33:DJ41" si="49">DH33/$L33</f>
        <v>0.41746384678109799</v>
      </c>
      <c r="DK33" s="17">
        <f t="shared" ref="DK33:DK41" si="50">SUM(DB33:DH33)</f>
        <v>1087.804897</v>
      </c>
      <c r="DL33" s="24">
        <f>(0-'2. Diesel-battery-storage'!$M33)</f>
        <v>-127.85383050000002</v>
      </c>
      <c r="DM33" s="24">
        <f>-(DL6-'2. Diesel-battery-storage'!$G6)*DK33/DL33</f>
        <v>-778.49532722506865</v>
      </c>
      <c r="DN33" s="16">
        <f>DK33-'2. Diesel-battery-storage'!$L33</f>
        <v>-114.11720300000002</v>
      </c>
      <c r="DO33" s="38">
        <f t="shared" si="25"/>
        <v>-9.4945590067775629E-2</v>
      </c>
      <c r="DQ33" s="1"/>
      <c r="DR33" s="2" t="s">
        <v>11</v>
      </c>
      <c r="DS33" s="3">
        <v>4.0039379999999998</v>
      </c>
      <c r="DT33" s="3" t="s">
        <v>10</v>
      </c>
      <c r="DU33" s="3">
        <v>0</v>
      </c>
      <c r="DV33" s="3" t="s">
        <v>10</v>
      </c>
      <c r="DW33" s="3" t="s">
        <v>10</v>
      </c>
      <c r="DX33" s="3">
        <v>869.45891300000005</v>
      </c>
      <c r="DY33" s="3">
        <v>415.83551399999999</v>
      </c>
      <c r="DZ33" s="12">
        <f t="shared" ref="DZ33:DZ41" si="51">DX33/$L33</f>
        <v>0.69186653665995501</v>
      </c>
      <c r="EA33" s="12">
        <f t="shared" ref="EA33:EA41" si="52">DY33/$L33</f>
        <v>0.33089853078703468</v>
      </c>
      <c r="EB33" s="17">
        <f t="shared" ref="EB33:EB41" si="53">SUM(DS33:DY33)</f>
        <v>1289.2983650000001</v>
      </c>
      <c r="EC33" s="24">
        <f>(0-'2. Diesel-battery-storage'!$M33)</f>
        <v>-127.85383050000002</v>
      </c>
      <c r="ED33" s="24">
        <f>-(EC6-'2. Diesel-battery-storage'!$G6)*EB33/EC33</f>
        <v>-922.69556362497349</v>
      </c>
      <c r="EE33" s="16">
        <f>EB33-'2. Diesel-battery-storage'!$L33</f>
        <v>87.376265000000103</v>
      </c>
      <c r="EF33" s="38">
        <f t="shared" si="26"/>
        <v>7.2697111568212375E-2</v>
      </c>
    </row>
    <row r="34" spans="1:136">
      <c r="A34" s="1"/>
      <c r="B34" s="2" t="s">
        <v>12</v>
      </c>
      <c r="C34" s="3" t="s">
        <v>10</v>
      </c>
      <c r="D34" s="3" t="s">
        <v>10</v>
      </c>
      <c r="E34" s="3">
        <v>0</v>
      </c>
      <c r="F34" s="19">
        <v>79.439499999999995</v>
      </c>
      <c r="G34" s="19">
        <v>4.1709820000000004</v>
      </c>
      <c r="H34" s="19">
        <v>0</v>
      </c>
      <c r="I34" s="19">
        <v>0</v>
      </c>
      <c r="J34" s="12">
        <f t="shared" si="27"/>
        <v>0</v>
      </c>
      <c r="K34" s="12">
        <f t="shared" si="27"/>
        <v>0</v>
      </c>
      <c r="L34" s="17">
        <f t="shared" si="28"/>
        <v>83.61048199999999</v>
      </c>
      <c r="M34" s="24">
        <f>(0-'2. Diesel-battery-storage'!$M34)</f>
        <v>0</v>
      </c>
      <c r="N34" s="24"/>
      <c r="O34" s="16">
        <f>L34-'2. Diesel-battery-storage'!$L34</f>
        <v>-43.870418000000001</v>
      </c>
      <c r="P34" s="38">
        <f t="shared" si="29"/>
        <v>-0.34413326231615876</v>
      </c>
      <c r="R34" s="1"/>
      <c r="S34" s="2" t="s">
        <v>12</v>
      </c>
      <c r="T34" s="3" t="s">
        <v>10</v>
      </c>
      <c r="U34" s="3" t="s">
        <v>10</v>
      </c>
      <c r="V34" s="3">
        <v>0</v>
      </c>
      <c r="W34" s="3">
        <v>79.434535999999994</v>
      </c>
      <c r="X34" s="3">
        <v>2.5675910000000002</v>
      </c>
      <c r="Y34" s="19">
        <v>0</v>
      </c>
      <c r="Z34" s="19">
        <v>126.243527</v>
      </c>
      <c r="AA34" s="12">
        <f t="shared" si="30"/>
        <v>0</v>
      </c>
      <c r="AB34" s="12">
        <f t="shared" si="31"/>
        <v>1.509900720342696</v>
      </c>
      <c r="AC34" s="17">
        <f t="shared" si="32"/>
        <v>208.245654</v>
      </c>
      <c r="AD34" s="24">
        <f>(0-'2. Diesel-battery-storage'!$M34)</f>
        <v>0</v>
      </c>
      <c r="AE34" s="24"/>
      <c r="AF34" s="16">
        <f>AC34-'2. Diesel-battery-storage'!$L34</f>
        <v>80.764754000000011</v>
      </c>
      <c r="AG34" s="38">
        <f t="shared" si="33"/>
        <v>0.63354395834983923</v>
      </c>
      <c r="AI34" s="1"/>
      <c r="AJ34" s="2" t="s">
        <v>12</v>
      </c>
      <c r="AK34" s="3" t="s">
        <v>10</v>
      </c>
      <c r="AL34" s="3" t="s">
        <v>10</v>
      </c>
      <c r="AM34" s="3">
        <v>0</v>
      </c>
      <c r="AN34" s="3">
        <v>79.444000000000003</v>
      </c>
      <c r="AO34" s="3">
        <v>4.3481389999999998</v>
      </c>
      <c r="AP34" s="19">
        <v>0</v>
      </c>
      <c r="AQ34" s="19">
        <v>0</v>
      </c>
      <c r="AR34" s="12">
        <f t="shared" si="34"/>
        <v>0</v>
      </c>
      <c r="AS34" s="12">
        <f t="shared" si="35"/>
        <v>0</v>
      </c>
      <c r="AT34" s="17">
        <f t="shared" si="36"/>
        <v>83.792139000000006</v>
      </c>
      <c r="AU34" s="24">
        <f>(0-'2. Diesel-battery-storage'!$M34)</f>
        <v>0</v>
      </c>
      <c r="AV34" s="24"/>
      <c r="AW34" s="16">
        <f>AT34-'2. Diesel-battery-storage'!$L34</f>
        <v>-43.688760999999985</v>
      </c>
      <c r="AX34" s="38">
        <f t="shared" si="37"/>
        <v>-0.342708288065114</v>
      </c>
      <c r="AZ34" s="1"/>
      <c r="BA34" s="2" t="s">
        <v>12</v>
      </c>
      <c r="BB34" s="3" t="s">
        <v>10</v>
      </c>
      <c r="BC34" s="3" t="s">
        <v>10</v>
      </c>
      <c r="BD34" s="3">
        <v>0</v>
      </c>
      <c r="BE34" s="3">
        <v>79.436704000000006</v>
      </c>
      <c r="BF34" s="3">
        <v>3.4265020000000002</v>
      </c>
      <c r="BG34" s="3">
        <v>0</v>
      </c>
      <c r="BH34" s="3">
        <v>100.049449</v>
      </c>
      <c r="BI34" s="12">
        <f t="shared" si="38"/>
        <v>0</v>
      </c>
      <c r="BJ34" s="12">
        <f t="shared" si="39"/>
        <v>1.1966137092715241</v>
      </c>
      <c r="BK34" s="17">
        <f t="shared" si="40"/>
        <v>182.912655</v>
      </c>
      <c r="BL34" s="24">
        <f>(0-'2. Diesel-battery-storage'!$M34)</f>
        <v>0</v>
      </c>
      <c r="BM34" s="24"/>
      <c r="BN34" s="16">
        <f>BK34-'2. Diesel-battery-storage'!$L34</f>
        <v>55.43175500000001</v>
      </c>
      <c r="BO34" s="38">
        <f t="shared" si="41"/>
        <v>0.43482400108565294</v>
      </c>
      <c r="BQ34" s="1"/>
      <c r="BR34" s="2" t="s">
        <v>12</v>
      </c>
      <c r="BS34" s="3" t="s">
        <v>10</v>
      </c>
      <c r="BT34" s="3" t="s">
        <v>10</v>
      </c>
      <c r="BU34" s="3">
        <v>0</v>
      </c>
      <c r="BV34" s="19">
        <v>85.412419</v>
      </c>
      <c r="BW34" s="19">
        <v>63.270231000000003</v>
      </c>
      <c r="BX34" s="19">
        <v>0</v>
      </c>
      <c r="BY34" s="19">
        <v>0</v>
      </c>
      <c r="BZ34" s="12">
        <f t="shared" si="42"/>
        <v>0</v>
      </c>
      <c r="CA34" s="12">
        <f t="shared" si="43"/>
        <v>0</v>
      </c>
      <c r="CB34" s="17">
        <f t="shared" si="44"/>
        <v>148.68265</v>
      </c>
      <c r="CC34" s="24">
        <f>(0-'2. Diesel-battery-storage'!$M34)</f>
        <v>0</v>
      </c>
      <c r="CD34" s="24"/>
      <c r="CE34" s="16">
        <f>CB34-'2. Diesel-battery-storage'!$L34</f>
        <v>21.201750000000004</v>
      </c>
      <c r="CF34" s="38">
        <f t="shared" si="23"/>
        <v>0.1663131496561446</v>
      </c>
      <c r="CG34" s="29">
        <f>-CD34*CC34/1000+'2. Diesel-battery-storage'!$AJ34</f>
        <v>-2.203901399961901</v>
      </c>
      <c r="CH34" s="41">
        <f>CG34/'0. Current system'!$L34*1000</f>
        <v>-47.932955410785333</v>
      </c>
      <c r="CI34" s="1"/>
      <c r="CJ34" s="2" t="s">
        <v>12</v>
      </c>
      <c r="CK34" s="3" t="s">
        <v>10</v>
      </c>
      <c r="CL34" s="3" t="s">
        <v>10</v>
      </c>
      <c r="CM34" s="3">
        <v>0</v>
      </c>
      <c r="CN34" s="3">
        <v>79.530396999999994</v>
      </c>
      <c r="CO34" s="3">
        <v>6.6926589999999999</v>
      </c>
      <c r="CP34" s="3">
        <v>0</v>
      </c>
      <c r="CQ34" s="3">
        <v>43.154891999999997</v>
      </c>
      <c r="CR34" s="12">
        <f t="shared" si="45"/>
        <v>0</v>
      </c>
      <c r="CS34" s="12">
        <f t="shared" si="46"/>
        <v>0.51614212677305227</v>
      </c>
      <c r="CT34" s="17">
        <f t="shared" si="47"/>
        <v>129.377948</v>
      </c>
      <c r="CU34" s="24">
        <f>(0-'2. Diesel-battery-storage'!$M34)</f>
        <v>0</v>
      </c>
      <c r="CV34" s="24"/>
      <c r="CW34" s="16">
        <f>CT34-'2. Diesel-battery-storage'!$L34</f>
        <v>1.8970480000000123</v>
      </c>
      <c r="CX34" s="38">
        <f t="shared" si="24"/>
        <v>1.4881037080849072E-2</v>
      </c>
      <c r="CZ34" s="1"/>
      <c r="DA34" s="2" t="s">
        <v>12</v>
      </c>
      <c r="DB34" s="3" t="s">
        <v>10</v>
      </c>
      <c r="DC34" s="3" t="s">
        <v>10</v>
      </c>
      <c r="DD34" s="3">
        <v>0</v>
      </c>
      <c r="DE34" s="3">
        <v>79.683470999999997</v>
      </c>
      <c r="DF34" s="3">
        <v>7.2951170000000003</v>
      </c>
      <c r="DG34" s="3">
        <v>0</v>
      </c>
      <c r="DH34" s="3">
        <v>0</v>
      </c>
      <c r="DI34" s="12">
        <f t="shared" si="48"/>
        <v>0</v>
      </c>
      <c r="DJ34" s="12">
        <f t="shared" si="49"/>
        <v>0</v>
      </c>
      <c r="DK34" s="17">
        <f t="shared" si="50"/>
        <v>86.978588000000002</v>
      </c>
      <c r="DL34" s="24">
        <f>(0-'2. Diesel-battery-storage'!$M34)</f>
        <v>0</v>
      </c>
      <c r="DM34" s="24"/>
      <c r="DN34" s="16">
        <f>DK34-'2. Diesel-battery-storage'!$L34</f>
        <v>-40.502311999999989</v>
      </c>
      <c r="DO34" s="38">
        <f t="shared" si="25"/>
        <v>-0.31771278677825454</v>
      </c>
      <c r="DQ34" s="1"/>
      <c r="DR34" s="2" t="s">
        <v>12</v>
      </c>
      <c r="DS34" s="3" t="s">
        <v>10</v>
      </c>
      <c r="DT34" s="3" t="s">
        <v>10</v>
      </c>
      <c r="DU34" s="3">
        <v>0</v>
      </c>
      <c r="DV34" s="3">
        <v>84.850234</v>
      </c>
      <c r="DW34" s="3">
        <v>62.642304000000003</v>
      </c>
      <c r="DX34" s="3">
        <v>0</v>
      </c>
      <c r="DY34" s="3">
        <v>0</v>
      </c>
      <c r="DZ34" s="12">
        <f t="shared" si="51"/>
        <v>0</v>
      </c>
      <c r="EA34" s="12">
        <f t="shared" si="52"/>
        <v>0</v>
      </c>
      <c r="EB34" s="17">
        <f t="shared" si="53"/>
        <v>147.492538</v>
      </c>
      <c r="EC34" s="24">
        <f>(0-'2. Diesel-battery-storage'!$M34)</f>
        <v>0</v>
      </c>
      <c r="ED34" s="24"/>
      <c r="EE34" s="16">
        <f>EB34-'2. Diesel-battery-storage'!$L34</f>
        <v>20.011638000000005</v>
      </c>
      <c r="EF34" s="38">
        <f t="shared" si="26"/>
        <v>0.1569775393804092</v>
      </c>
    </row>
    <row r="35" spans="1:136">
      <c r="A35" s="1"/>
      <c r="B35" s="2" t="s">
        <v>13</v>
      </c>
      <c r="C35" s="3">
        <v>1.435236</v>
      </c>
      <c r="D35" s="3">
        <v>0</v>
      </c>
      <c r="E35" s="3">
        <v>0</v>
      </c>
      <c r="F35" s="19">
        <v>531.31266900000003</v>
      </c>
      <c r="G35" s="19">
        <v>6.4459179999999998</v>
      </c>
      <c r="H35" s="19">
        <v>798.72346700000003</v>
      </c>
      <c r="I35" s="19">
        <v>655.31481799999995</v>
      </c>
      <c r="J35" s="12">
        <f t="shared" si="27"/>
        <v>0.40071774069575644</v>
      </c>
      <c r="K35" s="12">
        <f t="shared" si="27"/>
        <v>0.32876994875300286</v>
      </c>
      <c r="L35" s="17">
        <f t="shared" si="28"/>
        <v>1993.2321080000002</v>
      </c>
      <c r="M35" s="24">
        <f>(0-'2. Diesel-battery-storage'!$M35)</f>
        <v>-116.09560578000001</v>
      </c>
      <c r="N35" s="24">
        <f>-(L8-'2. Diesel-battery-storage'!$G8)*L35/M35</f>
        <v>222.5168720880628</v>
      </c>
      <c r="O35" s="16">
        <f>L35-'2. Diesel-battery-storage'!$L35</f>
        <v>-9.9380909999997584</v>
      </c>
      <c r="P35" s="59">
        <f t="shared" si="29"/>
        <v>-4.9611815336315108E-3</v>
      </c>
      <c r="R35" s="1"/>
      <c r="S35" s="2" t="s">
        <v>13</v>
      </c>
      <c r="T35" s="3">
        <v>1.3444419999999999</v>
      </c>
      <c r="U35" s="3">
        <v>0</v>
      </c>
      <c r="V35" s="3">
        <v>0</v>
      </c>
      <c r="W35" s="3">
        <v>530.94067700000005</v>
      </c>
      <c r="X35" s="3">
        <v>5.2042320000000002</v>
      </c>
      <c r="Y35" s="19">
        <v>692.79369299999996</v>
      </c>
      <c r="Z35" s="19">
        <v>710.80008699999996</v>
      </c>
      <c r="AA35" s="12">
        <f t="shared" si="30"/>
        <v>0.34757301481318498</v>
      </c>
      <c r="AB35" s="12">
        <f t="shared" si="31"/>
        <v>0.35660678159214154</v>
      </c>
      <c r="AC35" s="17">
        <f t="shared" si="32"/>
        <v>1941.0831309999999</v>
      </c>
      <c r="AD35" s="24">
        <f>(0-'2. Diesel-battery-storage'!$M35)</f>
        <v>-116.09560578000001</v>
      </c>
      <c r="AE35" s="24">
        <f>-(AC8-'2. Diesel-battery-storage'!$G8)*AC35/AD35</f>
        <v>251.18831427123601</v>
      </c>
      <c r="AF35" s="16">
        <f>AC35-'2. Diesel-battery-storage'!$L35</f>
        <v>-62.087068000000045</v>
      </c>
      <c r="AG35" s="59">
        <f t="shared" si="33"/>
        <v>-3.0994404784473358E-2</v>
      </c>
      <c r="AI35" s="1"/>
      <c r="AJ35" s="2" t="s">
        <v>13</v>
      </c>
      <c r="AK35" s="3">
        <v>1.444048</v>
      </c>
      <c r="AL35" s="3">
        <v>0</v>
      </c>
      <c r="AM35" s="3">
        <v>0</v>
      </c>
      <c r="AN35" s="3">
        <v>531.85326899999995</v>
      </c>
      <c r="AO35" s="3">
        <v>6.9981650000000002</v>
      </c>
      <c r="AP35" s="19">
        <v>816.14775299999997</v>
      </c>
      <c r="AQ35" s="19">
        <v>629.42523000000006</v>
      </c>
      <c r="AR35" s="12">
        <f t="shared" si="34"/>
        <v>0.40945946521949161</v>
      </c>
      <c r="AS35" s="12">
        <f t="shared" si="35"/>
        <v>0.31578120153380551</v>
      </c>
      <c r="AT35" s="17">
        <f t="shared" si="36"/>
        <v>1985.8684649999998</v>
      </c>
      <c r="AU35" s="24">
        <f>(0-'2. Diesel-battery-storage'!$M35)</f>
        <v>-116.09560578000001</v>
      </c>
      <c r="AV35" s="24">
        <f>-(AT8-'2. Diesel-battery-storage'!$G8)*AT35/AU35</f>
        <v>295.68419630847808</v>
      </c>
      <c r="AW35" s="16">
        <f>AT35-'2. Diesel-battery-storage'!$L35</f>
        <v>-17.301734000000124</v>
      </c>
      <c r="AX35" s="59">
        <f t="shared" si="37"/>
        <v>-8.6371762162981962E-3</v>
      </c>
      <c r="AZ35" s="1"/>
      <c r="BA35" s="2" t="s">
        <v>13</v>
      </c>
      <c r="BB35" s="3">
        <v>1.353728</v>
      </c>
      <c r="BC35" s="3">
        <v>0</v>
      </c>
      <c r="BD35" s="3">
        <v>0</v>
      </c>
      <c r="BE35" s="3">
        <v>531.14727500000004</v>
      </c>
      <c r="BF35" s="3">
        <v>6.1179059999999996</v>
      </c>
      <c r="BG35" s="3">
        <v>754.48363700000004</v>
      </c>
      <c r="BH35" s="3">
        <v>651.48928000000001</v>
      </c>
      <c r="BI35" s="12">
        <f t="shared" si="38"/>
        <v>0.37852271894066841</v>
      </c>
      <c r="BJ35" s="12">
        <f t="shared" si="39"/>
        <v>0.3268506850683342</v>
      </c>
      <c r="BK35" s="17">
        <f t="shared" si="40"/>
        <v>1944.5918260000001</v>
      </c>
      <c r="BL35" s="24">
        <f>(0-'2. Diesel-battery-storage'!$M35)</f>
        <v>-116.09560578000001</v>
      </c>
      <c r="BM35" s="24">
        <f>-(BK8-'2. Diesel-battery-storage'!$G8)*BK35/BL35</f>
        <v>335.60921891476505</v>
      </c>
      <c r="BN35" s="16">
        <f>BK35-'2. Diesel-battery-storage'!$L35</f>
        <v>-58.578372999999829</v>
      </c>
      <c r="BO35" s="59">
        <f t="shared" si="41"/>
        <v>-2.9242833698925167E-2</v>
      </c>
      <c r="BQ35" s="1"/>
      <c r="BR35" s="2" t="s">
        <v>13</v>
      </c>
      <c r="BS35" s="3">
        <v>2.6309640000000001</v>
      </c>
      <c r="BT35" s="3">
        <v>0</v>
      </c>
      <c r="BU35" s="3">
        <v>0</v>
      </c>
      <c r="BV35" s="19">
        <v>1234.602787</v>
      </c>
      <c r="BW35" s="19">
        <v>118.045126</v>
      </c>
      <c r="BX35" s="19">
        <v>537.57478700000001</v>
      </c>
      <c r="BY35" s="19">
        <v>100.398628</v>
      </c>
      <c r="BZ35" s="12">
        <f t="shared" si="42"/>
        <v>0.26970004388470348</v>
      </c>
      <c r="CA35" s="12">
        <f t="shared" si="43"/>
        <v>5.0369762556524096E-2</v>
      </c>
      <c r="CB35" s="17">
        <f t="shared" si="44"/>
        <v>1993.2522919999999</v>
      </c>
      <c r="CC35" s="24">
        <f>(0-'2. Diesel-battery-storage'!$M35)</f>
        <v>-116.09560578000001</v>
      </c>
      <c r="CD35" s="24">
        <f>-(BX8-'2. Diesel-battery-storage'!$G8)*CB35/CC35</f>
        <v>455.67910318243685</v>
      </c>
      <c r="CE35" s="16">
        <f>CB35-'2. Diesel-battery-storage'!$L35</f>
        <v>-9.9179070000000138</v>
      </c>
      <c r="CF35" s="59">
        <f t="shared" si="23"/>
        <v>-4.9511055051393634E-3</v>
      </c>
      <c r="CG35" s="29">
        <f>-CD35*CC35/1000+'2. Diesel-battery-storage'!$AJ35</f>
        <v>-111.62525035035542</v>
      </c>
      <c r="CH35" s="41">
        <f>CG35/'0. Current system'!$L35*1000</f>
        <v>-110.94742841080993</v>
      </c>
      <c r="CI35" s="1"/>
      <c r="CJ35" s="2" t="s">
        <v>13</v>
      </c>
      <c r="CK35" s="3">
        <v>1.44</v>
      </c>
      <c r="CL35" s="3">
        <v>0</v>
      </c>
      <c r="CM35" s="3">
        <v>0</v>
      </c>
      <c r="CN35" s="3">
        <v>824.54176299999995</v>
      </c>
      <c r="CO35" s="3">
        <v>13.929577999999999</v>
      </c>
      <c r="CP35" s="3">
        <v>669.27121499999998</v>
      </c>
      <c r="CQ35" s="3">
        <v>491.770239</v>
      </c>
      <c r="CR35" s="12">
        <f t="shared" si="45"/>
        <v>0.33577184127920939</v>
      </c>
      <c r="CS35" s="12">
        <f t="shared" si="46"/>
        <v>0.2467200066797238</v>
      </c>
      <c r="CT35" s="17">
        <f t="shared" si="47"/>
        <v>2000.9527949999999</v>
      </c>
      <c r="CU35" s="24">
        <f>(0-'2. Diesel-battery-storage'!$M35)</f>
        <v>-116.09560578000001</v>
      </c>
      <c r="CV35" s="24">
        <f>-(CU8-'2. Diesel-battery-storage'!$G8)*CT35/CU35</f>
        <v>-1544.1643655735809</v>
      </c>
      <c r="CW35" s="16">
        <f>CT35-'2. Diesel-battery-storage'!$L35</f>
        <v>-2.2174039999999877</v>
      </c>
      <c r="CX35" s="59">
        <f t="shared" si="24"/>
        <v>-1.1069473782641811E-3</v>
      </c>
      <c r="CZ35" s="1"/>
      <c r="DA35" s="2" t="s">
        <v>13</v>
      </c>
      <c r="DB35" s="3">
        <v>1.2901100000000001</v>
      </c>
      <c r="DC35" s="3">
        <v>0</v>
      </c>
      <c r="DD35" s="3">
        <v>0</v>
      </c>
      <c r="DE35" s="3">
        <v>828.53518599999995</v>
      </c>
      <c r="DF35" s="3">
        <v>13.041321999999999</v>
      </c>
      <c r="DG35" s="3">
        <v>768.78854799999999</v>
      </c>
      <c r="DH35" s="3">
        <v>320.78540800000002</v>
      </c>
      <c r="DI35" s="12">
        <f t="shared" si="48"/>
        <v>0.38569946014536099</v>
      </c>
      <c r="DJ35" s="12">
        <f t="shared" si="49"/>
        <v>0.16093730715680404</v>
      </c>
      <c r="DK35" s="17">
        <f t="shared" si="50"/>
        <v>1932.440574</v>
      </c>
      <c r="DL35" s="24">
        <f>(0-'2. Diesel-battery-storage'!$M35)</f>
        <v>-116.09560578000001</v>
      </c>
      <c r="DM35" s="24">
        <f>-(DL8-'2. Diesel-battery-storage'!$G8)*DK35/DL35</f>
        <v>-1491.2924884664042</v>
      </c>
      <c r="DN35" s="16">
        <f>DK35-'2. Diesel-battery-storage'!$L35</f>
        <v>-70.729624999999942</v>
      </c>
      <c r="DO35" s="59">
        <f t="shared" si="25"/>
        <v>-3.5308844468287713E-2</v>
      </c>
      <c r="DQ35" s="1"/>
      <c r="DR35" s="2" t="s">
        <v>13</v>
      </c>
      <c r="DS35" s="3">
        <v>2.5444300000000002</v>
      </c>
      <c r="DT35" s="3">
        <v>0</v>
      </c>
      <c r="DU35" s="3">
        <v>0</v>
      </c>
      <c r="DV35" s="3">
        <v>1243.2248629999999</v>
      </c>
      <c r="DW35" s="3">
        <v>117.679535</v>
      </c>
      <c r="DX35" s="3">
        <v>540.75219900000002</v>
      </c>
      <c r="DY35" s="3">
        <v>100.436488</v>
      </c>
      <c r="DZ35" s="12">
        <f t="shared" si="51"/>
        <v>0.27129414423420473</v>
      </c>
      <c r="EA35" s="12">
        <f t="shared" si="52"/>
        <v>5.0388756832127041E-2</v>
      </c>
      <c r="EB35" s="17">
        <f t="shared" si="53"/>
        <v>2004.6375149999999</v>
      </c>
      <c r="EC35" s="24">
        <f>(0-'2. Diesel-battery-storage'!$M35)</f>
        <v>-116.09560578000001</v>
      </c>
      <c r="ED35" s="24">
        <f>-(EC8-'2. Diesel-battery-storage'!$G8)*EB35/EC35</f>
        <v>-1547.0079175730752</v>
      </c>
      <c r="EE35" s="16">
        <f>EB35-'2. Diesel-battery-storage'!$L35</f>
        <v>1.4673159999999825</v>
      </c>
      <c r="EF35" s="59">
        <f t="shared" si="26"/>
        <v>7.3249691949914166E-4</v>
      </c>
    </row>
    <row r="36" spans="1:136">
      <c r="A36" s="1"/>
      <c r="B36" s="2" t="s">
        <v>14</v>
      </c>
      <c r="C36" s="3" t="s">
        <v>10</v>
      </c>
      <c r="D36" s="3" t="s">
        <v>10</v>
      </c>
      <c r="E36" s="3">
        <v>0</v>
      </c>
      <c r="F36" s="19">
        <v>0</v>
      </c>
      <c r="G36" s="19">
        <v>0</v>
      </c>
      <c r="H36" s="19">
        <v>24.268265</v>
      </c>
      <c r="I36" s="19">
        <v>212.94091399999999</v>
      </c>
      <c r="J36" s="12">
        <f t="shared" si="27"/>
        <v>0.10230744485650785</v>
      </c>
      <c r="K36" s="12">
        <f t="shared" si="27"/>
        <v>0.89769255514349211</v>
      </c>
      <c r="L36" s="17">
        <f t="shared" si="28"/>
        <v>237.20917900000001</v>
      </c>
      <c r="M36" s="24">
        <f>(0-'2. Diesel-battery-storage'!$M36)</f>
        <v>-35.089674840000001</v>
      </c>
      <c r="N36" s="24">
        <f>-(L9-'2. Diesel-battery-storage'!$G9)*L36/M36</f>
        <v>-136.86141043199416</v>
      </c>
      <c r="O36" s="16">
        <f>L36-'2. Diesel-battery-storage'!$L36</f>
        <v>-26.809522000000015</v>
      </c>
      <c r="P36" s="38">
        <f t="shared" si="29"/>
        <v>-0.10154402661044838</v>
      </c>
      <c r="R36" s="1"/>
      <c r="S36" s="2" t="s">
        <v>14</v>
      </c>
      <c r="T36" s="3" t="s">
        <v>10</v>
      </c>
      <c r="U36" s="3" t="s">
        <v>10</v>
      </c>
      <c r="V36" s="3">
        <v>0</v>
      </c>
      <c r="W36" s="3">
        <v>6.4170109999999996</v>
      </c>
      <c r="X36" s="3">
        <v>0</v>
      </c>
      <c r="Y36" s="19">
        <v>42.414409999999997</v>
      </c>
      <c r="Z36" s="19">
        <v>204.28811400000001</v>
      </c>
      <c r="AA36" s="12">
        <f t="shared" si="30"/>
        <v>0.17880593903998965</v>
      </c>
      <c r="AB36" s="12">
        <f t="shared" si="31"/>
        <v>0.86121504598268517</v>
      </c>
      <c r="AC36" s="17">
        <f t="shared" si="32"/>
        <v>253.11953500000001</v>
      </c>
      <c r="AD36" s="24">
        <f>(0-'2. Diesel-battery-storage'!$M36)</f>
        <v>-35.089674840000001</v>
      </c>
      <c r="AE36" s="24">
        <f>-(AC9-'2. Diesel-battery-storage'!$G9)*AC36/AD36</f>
        <v>-94.6071917956275</v>
      </c>
      <c r="AF36" s="16">
        <f>AC36-'2. Diesel-battery-storage'!$L36</f>
        <v>-10.899166000000008</v>
      </c>
      <c r="AG36" s="38">
        <f t="shared" si="33"/>
        <v>-4.1281795413424173E-2</v>
      </c>
      <c r="AI36" s="1"/>
      <c r="AJ36" s="2" t="s">
        <v>14</v>
      </c>
      <c r="AK36" s="3" t="s">
        <v>10</v>
      </c>
      <c r="AL36" s="3" t="s">
        <v>10</v>
      </c>
      <c r="AM36" s="3">
        <v>0</v>
      </c>
      <c r="AN36" s="3">
        <v>0</v>
      </c>
      <c r="AO36" s="3">
        <v>0</v>
      </c>
      <c r="AP36" s="19">
        <v>25.676003000000001</v>
      </c>
      <c r="AQ36" s="19">
        <v>211.81249800000001</v>
      </c>
      <c r="AR36" s="12">
        <f t="shared" si="34"/>
        <v>0.10824202970661603</v>
      </c>
      <c r="AS36" s="12">
        <f t="shared" si="35"/>
        <v>0.89293550482715511</v>
      </c>
      <c r="AT36" s="17">
        <f t="shared" si="36"/>
        <v>237.48850100000001</v>
      </c>
      <c r="AU36" s="24">
        <f>(0-'2. Diesel-battery-storage'!$M36)</f>
        <v>-35.089674840000001</v>
      </c>
      <c r="AV36" s="24">
        <f>-(AT9-'2. Diesel-battery-storage'!$G9)*AT36/AU36</f>
        <v>-94.89507531429193</v>
      </c>
      <c r="AW36" s="16">
        <f>AT36-'2. Diesel-battery-storage'!$L36</f>
        <v>-26.530200000000008</v>
      </c>
      <c r="AX36" s="38">
        <f t="shared" si="37"/>
        <v>-0.10048606367470919</v>
      </c>
      <c r="AZ36" s="1"/>
      <c r="BA36" s="2" t="s">
        <v>14</v>
      </c>
      <c r="BB36" s="3" t="s">
        <v>10</v>
      </c>
      <c r="BC36" s="3" t="s">
        <v>10</v>
      </c>
      <c r="BD36" s="3">
        <v>0</v>
      </c>
      <c r="BE36" s="3">
        <v>6.4682959999999996</v>
      </c>
      <c r="BF36" s="3">
        <v>0</v>
      </c>
      <c r="BG36" s="3">
        <v>42.384371999999999</v>
      </c>
      <c r="BH36" s="3">
        <v>204.25511700000001</v>
      </c>
      <c r="BI36" s="12">
        <f t="shared" si="38"/>
        <v>0.17867930818984032</v>
      </c>
      <c r="BJ36" s="12">
        <f t="shared" si="39"/>
        <v>0.86107594091036421</v>
      </c>
      <c r="BK36" s="17">
        <f t="shared" si="40"/>
        <v>253.10778500000001</v>
      </c>
      <c r="BL36" s="24">
        <f>(0-'2. Diesel-battery-storage'!$M36)</f>
        <v>-35.089674840000001</v>
      </c>
      <c r="BM36" s="24">
        <f>-(BK9-'2. Diesel-battery-storage'!$G9)*BK36/BL36</f>
        <v>-55.100725138554843</v>
      </c>
      <c r="BN36" s="16">
        <f>BK36-'2. Diesel-battery-storage'!$L36</f>
        <v>-10.910916000000014</v>
      </c>
      <c r="BO36" s="38">
        <f t="shared" si="41"/>
        <v>-4.1326299836616551E-2</v>
      </c>
      <c r="BQ36" s="1"/>
      <c r="BR36" s="2" t="s">
        <v>14</v>
      </c>
      <c r="BS36" s="3" t="s">
        <v>10</v>
      </c>
      <c r="BT36" s="3" t="s">
        <v>10</v>
      </c>
      <c r="BU36" s="3">
        <v>0</v>
      </c>
      <c r="BV36" s="19">
        <v>240.33372299999999</v>
      </c>
      <c r="BW36" s="19">
        <v>0</v>
      </c>
      <c r="BX36" s="19">
        <v>71.138492999999997</v>
      </c>
      <c r="BY36" s="19">
        <v>138.55194800000001</v>
      </c>
      <c r="BZ36" s="12">
        <f t="shared" si="42"/>
        <v>0.29989772444682672</v>
      </c>
      <c r="CA36" s="12">
        <f t="shared" si="43"/>
        <v>0.58409184916069379</v>
      </c>
      <c r="CB36" s="17">
        <f t="shared" si="44"/>
        <v>450.02416400000004</v>
      </c>
      <c r="CC36" s="24">
        <f>(0-'2. Diesel-battery-storage'!$M36)</f>
        <v>-35.089674840000001</v>
      </c>
      <c r="CD36" s="24">
        <f>-(BX9-'2. Diesel-battery-storage'!$G9)*CB36/CC36</f>
        <v>-12.063870815993505</v>
      </c>
      <c r="CE36" s="16">
        <f>CB36-'2. Diesel-battery-storage'!$L36</f>
        <v>186.00546300000002</v>
      </c>
      <c r="CF36" s="38">
        <f t="shared" si="23"/>
        <v>0.70451624182485473</v>
      </c>
      <c r="CG36" s="29">
        <f>-CD36*CC36/1000+'2. Diesel-battery-storage'!$AJ36</f>
        <v>-29.378705259286409</v>
      </c>
      <c r="CH36" s="41">
        <f>CG36/'0. Current system'!$L36*1000</f>
        <v>-173.11125004354727</v>
      </c>
      <c r="CI36" s="1"/>
      <c r="CJ36" s="2" t="s">
        <v>14</v>
      </c>
      <c r="CK36" s="3" t="s">
        <v>10</v>
      </c>
      <c r="CL36" s="3" t="s">
        <v>10</v>
      </c>
      <c r="CM36" s="3">
        <v>0</v>
      </c>
      <c r="CN36" s="3">
        <v>0</v>
      </c>
      <c r="CO36" s="3">
        <v>0</v>
      </c>
      <c r="CP36" s="3">
        <v>17.077193000000001</v>
      </c>
      <c r="CQ36" s="3">
        <v>299.02121799999998</v>
      </c>
      <c r="CR36" s="12">
        <f t="shared" si="45"/>
        <v>7.1992125566102141E-2</v>
      </c>
      <c r="CS36" s="12">
        <f t="shared" si="46"/>
        <v>1.2605802998879734</v>
      </c>
      <c r="CT36" s="17">
        <f t="shared" si="47"/>
        <v>316.098411</v>
      </c>
      <c r="CU36" s="24">
        <f>(0-'2. Diesel-battery-storage'!$M36)</f>
        <v>-35.089674840000001</v>
      </c>
      <c r="CV36" s="24">
        <f>-(CU9-'2. Diesel-battery-storage'!$G9)*CT36/CU36</f>
        <v>-828.66435650188305</v>
      </c>
      <c r="CW36" s="16">
        <f>CT36-'2. Diesel-battery-storage'!$L36</f>
        <v>52.079709999999977</v>
      </c>
      <c r="CX36" s="38">
        <f t="shared" si="24"/>
        <v>0.19725765562341727</v>
      </c>
      <c r="CZ36" s="1"/>
      <c r="DA36" s="2" t="s">
        <v>14</v>
      </c>
      <c r="DB36" s="3" t="s">
        <v>10</v>
      </c>
      <c r="DC36" s="3" t="s">
        <v>10</v>
      </c>
      <c r="DD36" s="3">
        <v>0</v>
      </c>
      <c r="DE36" s="3">
        <v>0</v>
      </c>
      <c r="DF36" s="3">
        <v>0</v>
      </c>
      <c r="DG36" s="3">
        <v>16.859404999999999</v>
      </c>
      <c r="DH36" s="3">
        <v>295.27679899999998</v>
      </c>
      <c r="DI36" s="12">
        <f t="shared" si="48"/>
        <v>7.1073999206413496E-2</v>
      </c>
      <c r="DJ36" s="12">
        <f t="shared" si="49"/>
        <v>1.2447949958968492</v>
      </c>
      <c r="DK36" s="17">
        <f t="shared" si="50"/>
        <v>312.13620399999996</v>
      </c>
      <c r="DL36" s="24">
        <f>(0-'2. Diesel-battery-storage'!$M36)</f>
        <v>-35.089674840000001</v>
      </c>
      <c r="DM36" s="24">
        <f>-(DL9-'2. Diesel-battery-storage'!$G9)*DK36/DL36</f>
        <v>-818.27727577093219</v>
      </c>
      <c r="DN36" s="16">
        <f>DK36-'2. Diesel-battery-storage'!$L36</f>
        <v>48.117502999999942</v>
      </c>
      <c r="DO36" s="38">
        <f t="shared" si="25"/>
        <v>0.182250358848633</v>
      </c>
      <c r="DQ36" s="1"/>
      <c r="DR36" s="2" t="s">
        <v>14</v>
      </c>
      <c r="DS36" s="3" t="s">
        <v>10</v>
      </c>
      <c r="DT36" s="3" t="s">
        <v>10</v>
      </c>
      <c r="DU36" s="3">
        <v>0</v>
      </c>
      <c r="DV36" s="3">
        <v>240.75403299999999</v>
      </c>
      <c r="DW36" s="3">
        <v>0</v>
      </c>
      <c r="DX36" s="3">
        <v>44.049163999999998</v>
      </c>
      <c r="DY36" s="3">
        <v>81.196601999999999</v>
      </c>
      <c r="DZ36" s="12">
        <f t="shared" si="51"/>
        <v>0.18569755262295307</v>
      </c>
      <c r="EA36" s="12">
        <f t="shared" si="52"/>
        <v>0.34229957855045734</v>
      </c>
      <c r="EB36" s="17">
        <f t="shared" si="53"/>
        <v>365.999799</v>
      </c>
      <c r="EC36" s="24">
        <f>(0-'2. Diesel-battery-storage'!$M36)</f>
        <v>-35.089674840000001</v>
      </c>
      <c r="ED36" s="24">
        <f>-(EC9-'2. Diesel-battery-storage'!$G9)*EB36/EC36</f>
        <v>-959.48279828003785</v>
      </c>
      <c r="EE36" s="16">
        <f>EB36-'2. Diesel-battery-storage'!$L36</f>
        <v>101.98109799999997</v>
      </c>
      <c r="EF36" s="38">
        <f t="shared" si="26"/>
        <v>0.38626467600111392</v>
      </c>
    </row>
    <row r="37" spans="1:136">
      <c r="A37" s="1"/>
      <c r="B37" s="2" t="s">
        <v>15</v>
      </c>
      <c r="C37" s="3" t="s">
        <v>10</v>
      </c>
      <c r="D37" s="3" t="s">
        <v>10</v>
      </c>
      <c r="E37" s="3">
        <v>0</v>
      </c>
      <c r="F37" s="19">
        <v>85.255724000000001</v>
      </c>
      <c r="G37" s="19" t="s">
        <v>10</v>
      </c>
      <c r="H37" s="19">
        <v>72.327850999999995</v>
      </c>
      <c r="I37" s="19">
        <v>320.96939300000003</v>
      </c>
      <c r="J37" s="12">
        <f t="shared" si="27"/>
        <v>0.15113865305710525</v>
      </c>
      <c r="K37" s="12">
        <f t="shared" si="27"/>
        <v>0.67070818584913683</v>
      </c>
      <c r="L37" s="17">
        <f t="shared" si="28"/>
        <v>478.55296800000002</v>
      </c>
      <c r="M37" s="24">
        <f>(0-'2. Diesel-battery-storage'!$M37)</f>
        <v>-44.831072880000001</v>
      </c>
      <c r="N37" s="24">
        <f>-(L10-'2. Diesel-battery-storage'!$G10)*L37/M37</f>
        <v>39.723379146314471</v>
      </c>
      <c r="O37" s="16">
        <f>L37-'2. Diesel-battery-storage'!$L37</f>
        <v>5.1135679999999866</v>
      </c>
      <c r="P37" s="38">
        <f t="shared" si="29"/>
        <v>1.0800892363415436E-2</v>
      </c>
      <c r="R37" s="1"/>
      <c r="S37" s="2" t="s">
        <v>15</v>
      </c>
      <c r="T37" s="3" t="s">
        <v>10</v>
      </c>
      <c r="U37" s="3" t="s">
        <v>10</v>
      </c>
      <c r="V37" s="3">
        <v>0</v>
      </c>
      <c r="W37" s="3">
        <v>167.536193</v>
      </c>
      <c r="X37" s="3" t="s">
        <v>10</v>
      </c>
      <c r="Y37" s="19">
        <v>38.360084000000001</v>
      </c>
      <c r="Z37" s="19">
        <v>256.75072299999999</v>
      </c>
      <c r="AA37" s="12">
        <f t="shared" si="30"/>
        <v>8.0158491462955464E-2</v>
      </c>
      <c r="AB37" s="12">
        <f t="shared" si="31"/>
        <v>0.53651474375559616</v>
      </c>
      <c r="AC37" s="17">
        <f t="shared" si="32"/>
        <v>462.64699999999999</v>
      </c>
      <c r="AD37" s="24">
        <f>(0-'2. Diesel-battery-storage'!$M37)</f>
        <v>-44.831072880000001</v>
      </c>
      <c r="AE37" s="24">
        <f>-(AC10-'2. Diesel-battery-storage'!$G10)*AC37/AD37</f>
        <v>262.91856171816869</v>
      </c>
      <c r="AF37" s="16">
        <f>AC37-'2. Diesel-battery-storage'!$L37</f>
        <v>-10.792400000000043</v>
      </c>
      <c r="AG37" s="38">
        <f t="shared" si="33"/>
        <v>-2.2795736898956958E-2</v>
      </c>
      <c r="AI37" s="1"/>
      <c r="AJ37" s="2" t="s">
        <v>15</v>
      </c>
      <c r="AK37" s="3" t="s">
        <v>10</v>
      </c>
      <c r="AL37" s="3" t="s">
        <v>10</v>
      </c>
      <c r="AM37" s="3">
        <v>0</v>
      </c>
      <c r="AN37" s="3">
        <v>84.370643000000001</v>
      </c>
      <c r="AO37" s="3" t="s">
        <v>10</v>
      </c>
      <c r="AP37" s="19">
        <v>72.429907</v>
      </c>
      <c r="AQ37" s="19">
        <v>319.77057300000001</v>
      </c>
      <c r="AR37" s="12">
        <f t="shared" si="34"/>
        <v>0.1513519126267335</v>
      </c>
      <c r="AS37" s="12">
        <f t="shared" si="35"/>
        <v>0.66820309220190643</v>
      </c>
      <c r="AT37" s="17">
        <f t="shared" si="36"/>
        <v>476.571123</v>
      </c>
      <c r="AU37" s="24">
        <f>(0-'2. Diesel-battery-storage'!$M37)</f>
        <v>-44.831072880000001</v>
      </c>
      <c r="AV37" s="24">
        <f>-(AT10-'2. Diesel-battery-storage'!$G10)*AT37/AU37</f>
        <v>91.546289450753946</v>
      </c>
      <c r="AW37" s="16">
        <f>AT37-'2. Diesel-battery-storage'!$L37</f>
        <v>3.1317229999999654</v>
      </c>
      <c r="AX37" s="38">
        <f t="shared" si="37"/>
        <v>6.614833915385929E-3</v>
      </c>
      <c r="AZ37" s="1"/>
      <c r="BA37" s="2" t="s">
        <v>15</v>
      </c>
      <c r="BB37" s="3" t="s">
        <v>10</v>
      </c>
      <c r="BC37" s="3" t="s">
        <v>10</v>
      </c>
      <c r="BD37" s="3">
        <v>0</v>
      </c>
      <c r="BE37" s="3">
        <v>166.398675</v>
      </c>
      <c r="BF37" s="3" t="s">
        <v>10</v>
      </c>
      <c r="BG37" s="3">
        <v>38.956319000000001</v>
      </c>
      <c r="BH37" s="3">
        <v>257.66602699999999</v>
      </c>
      <c r="BI37" s="12">
        <f t="shared" si="38"/>
        <v>8.140440370228777E-2</v>
      </c>
      <c r="BJ37" s="12">
        <f t="shared" si="39"/>
        <v>0.53842739305714638</v>
      </c>
      <c r="BK37" s="17">
        <f t="shared" si="40"/>
        <v>463.02102100000002</v>
      </c>
      <c r="BL37" s="24">
        <f>(0-'2. Diesel-battery-storage'!$M37)</f>
        <v>-44.831072880000001</v>
      </c>
      <c r="BM37" s="24">
        <f>-(BK10-'2. Diesel-battery-storage'!$G10)*BK37/BL37</f>
        <v>311.26616063984318</v>
      </c>
      <c r="BN37" s="16">
        <f>BK37-'2. Diesel-battery-storage'!$L37</f>
        <v>-10.418379000000016</v>
      </c>
      <c r="BO37" s="38">
        <f t="shared" si="41"/>
        <v>-2.2005728716283469E-2</v>
      </c>
      <c r="BQ37" s="1"/>
      <c r="BR37" s="2" t="s">
        <v>15</v>
      </c>
      <c r="BS37" s="3" t="s">
        <v>10</v>
      </c>
      <c r="BT37" s="3" t="s">
        <v>10</v>
      </c>
      <c r="BU37" s="3">
        <v>0</v>
      </c>
      <c r="BV37" s="19">
        <v>379.82934799999998</v>
      </c>
      <c r="BW37" s="19" t="s">
        <v>10</v>
      </c>
      <c r="BX37" s="19">
        <v>10.563269999999999</v>
      </c>
      <c r="BY37" s="19">
        <v>0</v>
      </c>
      <c r="BZ37" s="12">
        <f t="shared" si="42"/>
        <v>2.2073355942492032E-2</v>
      </c>
      <c r="CA37" s="12">
        <f t="shared" si="43"/>
        <v>0</v>
      </c>
      <c r="CB37" s="17">
        <f t="shared" si="44"/>
        <v>390.39261799999997</v>
      </c>
      <c r="CC37" s="24">
        <f>(0-'2. Diesel-battery-storage'!$M37)</f>
        <v>-44.831072880000001</v>
      </c>
      <c r="CD37" s="24">
        <f>-(BX10-'2. Diesel-battery-storage'!$G10)*CB37/CC37</f>
        <v>243.53404584285522</v>
      </c>
      <c r="CE37" s="16">
        <f>CB37-'2. Diesel-battery-storage'!$L37</f>
        <v>-83.046782000000064</v>
      </c>
      <c r="CF37" s="38">
        <f t="shared" si="23"/>
        <v>-0.17541164085625333</v>
      </c>
      <c r="CG37" s="29">
        <f>-CD37*CC37/1000+'2. Diesel-battery-storage'!$AJ37</f>
        <v>-39.3675870345009</v>
      </c>
      <c r="CH37" s="41">
        <f>CG37/'0. Current system'!$L37*1000</f>
        <v>-129.87450137545883</v>
      </c>
      <c r="CI37" s="1"/>
      <c r="CJ37" s="2" t="s">
        <v>15</v>
      </c>
      <c r="CK37" s="3" t="s">
        <v>10</v>
      </c>
      <c r="CL37" s="3" t="s">
        <v>10</v>
      </c>
      <c r="CM37" s="3">
        <v>0</v>
      </c>
      <c r="CN37" s="3">
        <v>0</v>
      </c>
      <c r="CO37" s="3" t="s">
        <v>10</v>
      </c>
      <c r="CP37" s="3">
        <v>56.447071999999999</v>
      </c>
      <c r="CQ37" s="3">
        <v>672.59733200000005</v>
      </c>
      <c r="CR37" s="12">
        <f t="shared" si="45"/>
        <v>0.11795365565468606</v>
      </c>
      <c r="CS37" s="12">
        <f t="shared" si="46"/>
        <v>1.4054814763994945</v>
      </c>
      <c r="CT37" s="17">
        <f t="shared" si="47"/>
        <v>729.0444040000001</v>
      </c>
      <c r="CU37" s="24">
        <f>(0-'2. Diesel-battery-storage'!$M37)</f>
        <v>-44.831072880000001</v>
      </c>
      <c r="CV37" s="24">
        <f>-(CU10-'2. Diesel-battery-storage'!$G10)*CT37/CU37</f>
        <v>-1549.3184939695986</v>
      </c>
      <c r="CW37" s="16">
        <f>CT37-'2. Diesel-battery-storage'!$L37</f>
        <v>255.60500400000006</v>
      </c>
      <c r="CX37" s="38">
        <f t="shared" si="24"/>
        <v>0.53988959093814337</v>
      </c>
      <c r="CZ37" s="1"/>
      <c r="DA37" s="2" t="s">
        <v>15</v>
      </c>
      <c r="DB37" s="3" t="s">
        <v>10</v>
      </c>
      <c r="DC37" s="3" t="s">
        <v>10</v>
      </c>
      <c r="DD37" s="3">
        <v>0</v>
      </c>
      <c r="DE37" s="3">
        <v>0</v>
      </c>
      <c r="DF37" s="3" t="s">
        <v>10</v>
      </c>
      <c r="DG37" s="3">
        <v>91.003780000000006</v>
      </c>
      <c r="DH37" s="3">
        <v>562.72379799999999</v>
      </c>
      <c r="DI37" s="12">
        <f t="shared" si="48"/>
        <v>0.19016448770619682</v>
      </c>
      <c r="DJ37" s="12">
        <f t="shared" si="49"/>
        <v>1.175886130958026</v>
      </c>
      <c r="DK37" s="17">
        <f t="shared" si="50"/>
        <v>653.72757799999999</v>
      </c>
      <c r="DL37" s="24">
        <f>(0-'2. Diesel-battery-storage'!$M37)</f>
        <v>-44.831072880000001</v>
      </c>
      <c r="DM37" s="24">
        <f>-(DL10-'2. Diesel-battery-storage'!$G10)*DK37/DL37</f>
        <v>-1389.2599971364064</v>
      </c>
      <c r="DN37" s="16">
        <f>DK37-'2. Diesel-battery-storage'!$L37</f>
        <v>180.28817799999996</v>
      </c>
      <c r="DO37" s="38">
        <f t="shared" si="25"/>
        <v>0.38080518435939203</v>
      </c>
      <c r="DQ37" s="1"/>
      <c r="DR37" s="2" t="s">
        <v>15</v>
      </c>
      <c r="DS37" s="3" t="s">
        <v>10</v>
      </c>
      <c r="DT37" s="3" t="s">
        <v>10</v>
      </c>
      <c r="DU37" s="3">
        <v>0</v>
      </c>
      <c r="DV37" s="3">
        <v>375.01962600000002</v>
      </c>
      <c r="DW37" s="3" t="s">
        <v>10</v>
      </c>
      <c r="DX37" s="3">
        <v>10.555225999999999</v>
      </c>
      <c r="DY37" s="3">
        <v>0</v>
      </c>
      <c r="DZ37" s="12">
        <f t="shared" si="51"/>
        <v>2.2056546935886937E-2</v>
      </c>
      <c r="EA37" s="12">
        <f t="shared" si="52"/>
        <v>0</v>
      </c>
      <c r="EB37" s="17">
        <f t="shared" si="53"/>
        <v>385.57485200000002</v>
      </c>
      <c r="EC37" s="24">
        <f>(0-'2. Diesel-battery-storage'!$M37)</f>
        <v>-44.831072880000001</v>
      </c>
      <c r="ED37" s="24">
        <f>-(EC10-'2. Diesel-battery-storage'!$G10)*EB37/EC37</f>
        <v>-819.39899097447949</v>
      </c>
      <c r="EE37" s="16">
        <f>EB37-'2. Diesel-battery-storage'!$L37</f>
        <v>-87.864548000000013</v>
      </c>
      <c r="EF37" s="38">
        <f t="shared" si="26"/>
        <v>-0.1855877394234616</v>
      </c>
    </row>
    <row r="38" spans="1:136">
      <c r="A38" s="1"/>
      <c r="B38" s="2" t="s">
        <v>16</v>
      </c>
      <c r="C38" s="3" t="s">
        <v>10</v>
      </c>
      <c r="D38" s="3" t="s">
        <v>10</v>
      </c>
      <c r="E38" s="3">
        <v>0</v>
      </c>
      <c r="F38" s="19">
        <v>12.480772999999999</v>
      </c>
      <c r="G38" s="19" t="s">
        <v>10</v>
      </c>
      <c r="H38" s="19">
        <v>0.43032500000000001</v>
      </c>
      <c r="I38" s="19">
        <v>0</v>
      </c>
      <c r="J38" s="12">
        <f t="shared" si="27"/>
        <v>3.3329853123258771E-2</v>
      </c>
      <c r="K38" s="12">
        <f t="shared" si="27"/>
        <v>0</v>
      </c>
      <c r="L38" s="17">
        <f t="shared" si="28"/>
        <v>12.911097999999999</v>
      </c>
      <c r="M38" s="24">
        <f>(0-'2. Diesel-battery-storage'!$M38)</f>
        <v>-0.24791382000000001</v>
      </c>
      <c r="N38" s="24">
        <f>-(L11-'2. Diesel-battery-storage'!$G11)*L38/M38</f>
        <v>3608.130561586127</v>
      </c>
      <c r="O38" s="16">
        <f>L38-'2. Diesel-battery-storage'!$L38</f>
        <v>-3.4794230000000006</v>
      </c>
      <c r="P38" s="38">
        <f t="shared" si="29"/>
        <v>-0.2122826357990695</v>
      </c>
      <c r="R38" s="1"/>
      <c r="S38" s="2" t="s">
        <v>16</v>
      </c>
      <c r="T38" s="3" t="s">
        <v>10</v>
      </c>
      <c r="U38" s="3" t="s">
        <v>10</v>
      </c>
      <c r="V38" s="3">
        <v>0</v>
      </c>
      <c r="W38" s="3">
        <v>10.150043999999999</v>
      </c>
      <c r="X38" s="3" t="s">
        <v>10</v>
      </c>
      <c r="Y38" s="19">
        <v>2.9341170000000001</v>
      </c>
      <c r="Z38" s="19">
        <v>1.9563280000000001</v>
      </c>
      <c r="AA38" s="12">
        <f t="shared" si="30"/>
        <v>0.22725542010447139</v>
      </c>
      <c r="AB38" s="12">
        <f t="shared" si="31"/>
        <v>0.1515229765895976</v>
      </c>
      <c r="AC38" s="17">
        <f t="shared" si="32"/>
        <v>15.040489000000001</v>
      </c>
      <c r="AD38" s="24">
        <f>(0-'2. Diesel-battery-storage'!$M38)</f>
        <v>-0.24791382000000001</v>
      </c>
      <c r="AE38" s="24">
        <f>-(AC11-'2. Diesel-battery-storage'!$G11)*AC38/AD38</f>
        <v>1849.2975640358211</v>
      </c>
      <c r="AF38" s="16">
        <f>AC38-'2. Diesel-battery-storage'!$L38</f>
        <v>-1.3500319999999988</v>
      </c>
      <c r="AG38" s="38">
        <f t="shared" si="33"/>
        <v>-8.236663129866334E-2</v>
      </c>
      <c r="AI38" s="1"/>
      <c r="AJ38" s="2" t="s">
        <v>16</v>
      </c>
      <c r="AK38" s="3" t="s">
        <v>10</v>
      </c>
      <c r="AL38" s="3" t="s">
        <v>10</v>
      </c>
      <c r="AM38" s="3">
        <v>0</v>
      </c>
      <c r="AN38" s="3">
        <v>13.216791000000001</v>
      </c>
      <c r="AO38" s="3" t="s">
        <v>10</v>
      </c>
      <c r="AP38" s="19">
        <v>0.39710899999999999</v>
      </c>
      <c r="AQ38" s="19">
        <v>0</v>
      </c>
      <c r="AR38" s="12">
        <f t="shared" si="34"/>
        <v>3.0757182696622705E-2</v>
      </c>
      <c r="AS38" s="12">
        <f t="shared" si="35"/>
        <v>0</v>
      </c>
      <c r="AT38" s="17">
        <f t="shared" si="36"/>
        <v>13.613900000000001</v>
      </c>
      <c r="AU38" s="24">
        <f>(0-'2. Diesel-battery-storage'!$M38)</f>
        <v>-0.24791382000000001</v>
      </c>
      <c r="AV38" s="24">
        <f>-(AT11-'2. Diesel-battery-storage'!$G11)*AT38/AU38</f>
        <v>2898.2561209512241</v>
      </c>
      <c r="AW38" s="16">
        <f>AT38-'2. Diesel-battery-storage'!$L38</f>
        <v>-2.7766209999999987</v>
      </c>
      <c r="AX38" s="38">
        <f t="shared" si="37"/>
        <v>-0.16940407202431201</v>
      </c>
      <c r="AZ38" s="1"/>
      <c r="BA38" s="2" t="s">
        <v>16</v>
      </c>
      <c r="BB38" s="3" t="s">
        <v>10</v>
      </c>
      <c r="BC38" s="3" t="s">
        <v>10</v>
      </c>
      <c r="BD38" s="3">
        <v>0</v>
      </c>
      <c r="BE38" s="3">
        <v>10.616782000000001</v>
      </c>
      <c r="BF38" s="3" t="s">
        <v>10</v>
      </c>
      <c r="BG38" s="3">
        <v>4.6510980000000002</v>
      </c>
      <c r="BH38" s="3">
        <v>0.67995300000000003</v>
      </c>
      <c r="BI38" s="12">
        <f t="shared" si="38"/>
        <v>0.36024031418551705</v>
      </c>
      <c r="BJ38" s="12">
        <f t="shared" si="39"/>
        <v>5.2664227318234287E-2</v>
      </c>
      <c r="BK38" s="17">
        <f t="shared" si="40"/>
        <v>15.947833000000001</v>
      </c>
      <c r="BL38" s="24">
        <f>(0-'2. Diesel-battery-storage'!$M38)</f>
        <v>-0.24791382000000001</v>
      </c>
      <c r="BM38" s="24">
        <f>-(BK11-'2. Diesel-battery-storage'!$G11)*BK38/BL38</f>
        <v>1309.5587446235106</v>
      </c>
      <c r="BN38" s="16">
        <f>BK38-'2. Diesel-battery-storage'!$L38</f>
        <v>-0.44268799999999864</v>
      </c>
      <c r="BO38" s="38">
        <f t="shared" si="41"/>
        <v>-2.7008781478026149E-2</v>
      </c>
      <c r="BQ38" s="1"/>
      <c r="BR38" s="2" t="s">
        <v>16</v>
      </c>
      <c r="BS38" s="3" t="s">
        <v>10</v>
      </c>
      <c r="BT38" s="3" t="s">
        <v>10</v>
      </c>
      <c r="BU38" s="3">
        <v>0</v>
      </c>
      <c r="BV38" s="19">
        <v>27.138138000000001</v>
      </c>
      <c r="BW38" s="19" t="s">
        <v>10</v>
      </c>
      <c r="BX38" s="19">
        <v>0.43714399999999998</v>
      </c>
      <c r="BY38" s="19">
        <v>0</v>
      </c>
      <c r="BZ38" s="12">
        <f t="shared" si="42"/>
        <v>3.3858003401414816E-2</v>
      </c>
      <c r="CA38" s="12">
        <f t="shared" si="43"/>
        <v>0</v>
      </c>
      <c r="CB38" s="17">
        <f t="shared" si="44"/>
        <v>27.575282000000001</v>
      </c>
      <c r="CC38" s="24">
        <f>(0-'2. Diesel-battery-storage'!$M38)</f>
        <v>-0.24791382000000001</v>
      </c>
      <c r="CD38" s="24">
        <f>-(BX11-'2. Diesel-battery-storage'!$G11)*CB38/CC38</f>
        <v>5873.9860903156004</v>
      </c>
      <c r="CE38" s="16">
        <f>CB38-'2. Diesel-battery-storage'!$L38</f>
        <v>11.184761000000002</v>
      </c>
      <c r="CF38" s="38">
        <f t="shared" si="23"/>
        <v>0.68239203622630429</v>
      </c>
      <c r="CG38" s="29">
        <f>-CD38*CC38/1000+'2. Diesel-battery-storage'!$AJ38</f>
        <v>5.8520721128469733E-2</v>
      </c>
      <c r="CH38" s="41">
        <f>CG38/'0. Current system'!$L38*1000</f>
        <v>6.0679477647536872</v>
      </c>
      <c r="CI38" s="1"/>
      <c r="CJ38" s="2" t="s">
        <v>16</v>
      </c>
      <c r="CK38" s="3" t="s">
        <v>10</v>
      </c>
      <c r="CL38" s="3" t="s">
        <v>10</v>
      </c>
      <c r="CM38" s="3">
        <v>0</v>
      </c>
      <c r="CN38" s="3">
        <v>8.3662019999999995</v>
      </c>
      <c r="CO38" s="3" t="s">
        <v>10</v>
      </c>
      <c r="CP38" s="3">
        <v>5.3397779999999999</v>
      </c>
      <c r="CQ38" s="3">
        <v>2.7068319999999999</v>
      </c>
      <c r="CR38" s="12">
        <f t="shared" si="45"/>
        <v>0.41358047162216571</v>
      </c>
      <c r="CS38" s="12">
        <f t="shared" si="46"/>
        <v>0.2096515726238001</v>
      </c>
      <c r="CT38" s="17">
        <f t="shared" si="47"/>
        <v>16.412811999999999</v>
      </c>
      <c r="CU38" s="24">
        <f>(0-'2. Diesel-battery-storage'!$M38)</f>
        <v>-0.24791382000000001</v>
      </c>
      <c r="CV38" s="24">
        <f>-(CU11-'2. Diesel-battery-storage'!$G11)*CT38/CU38</f>
        <v>-7012.8245361901645</v>
      </c>
      <c r="CW38" s="16">
        <f>CT38-'2. Diesel-battery-storage'!$L38</f>
        <v>2.2290999999999173E-2</v>
      </c>
      <c r="CX38" s="38">
        <f t="shared" si="24"/>
        <v>1.3599933766595444E-3</v>
      </c>
      <c r="CZ38" s="1"/>
      <c r="DA38" s="2" t="s">
        <v>16</v>
      </c>
      <c r="DB38" s="3" t="s">
        <v>10</v>
      </c>
      <c r="DC38" s="3" t="s">
        <v>10</v>
      </c>
      <c r="DD38" s="3">
        <v>0</v>
      </c>
      <c r="DE38" s="3">
        <v>8.0274439999999991</v>
      </c>
      <c r="DF38" s="3" t="s">
        <v>10</v>
      </c>
      <c r="DG38" s="3">
        <v>5.3747249999999998</v>
      </c>
      <c r="DH38" s="3">
        <v>2.9883510000000002</v>
      </c>
      <c r="DI38" s="12">
        <f t="shared" si="48"/>
        <v>0.41628721275293551</v>
      </c>
      <c r="DJ38" s="12">
        <f t="shared" si="49"/>
        <v>0.2314559923563434</v>
      </c>
      <c r="DK38" s="17">
        <f t="shared" si="50"/>
        <v>16.390519999999999</v>
      </c>
      <c r="DL38" s="24">
        <f>(0-'2. Diesel-battery-storage'!$M38)</f>
        <v>-0.24791382000000001</v>
      </c>
      <c r="DM38" s="24">
        <f>-(DL11-'2. Diesel-battery-storage'!$G11)*DK38/DL38</f>
        <v>-7003.2996671695028</v>
      </c>
      <c r="DN38" s="16">
        <f>DK38-'2. Diesel-battery-storage'!$L38</f>
        <v>-1.0000000010279564E-6</v>
      </c>
      <c r="DO38" s="38">
        <f t="shared" si="25"/>
        <v>-6.1010873359544607E-8</v>
      </c>
      <c r="DQ38" s="1"/>
      <c r="DR38" s="2" t="s">
        <v>16</v>
      </c>
      <c r="DS38" s="3" t="s">
        <v>10</v>
      </c>
      <c r="DT38" s="3" t="s">
        <v>10</v>
      </c>
      <c r="DU38" s="3">
        <v>0</v>
      </c>
      <c r="DV38" s="3">
        <v>14.184397000000001</v>
      </c>
      <c r="DW38" s="3" t="s">
        <v>10</v>
      </c>
      <c r="DX38" s="3">
        <v>0.44117499999999998</v>
      </c>
      <c r="DY38" s="3">
        <v>0</v>
      </c>
      <c r="DZ38" s="12">
        <f t="shared" si="51"/>
        <v>3.4170215422421858E-2</v>
      </c>
      <c r="EA38" s="12">
        <f t="shared" si="52"/>
        <v>0</v>
      </c>
      <c r="EB38" s="17">
        <f t="shared" si="53"/>
        <v>14.625572</v>
      </c>
      <c r="EC38" s="24">
        <f>(0-'2. Diesel-battery-storage'!$M38)</f>
        <v>-0.24791382000000001</v>
      </c>
      <c r="ED38" s="24">
        <f>-(EC11-'2. Diesel-battery-storage'!$G11)*EB38/EC38</f>
        <v>-6249.1771780128756</v>
      </c>
      <c r="EE38" s="16">
        <f>EB38-'2. Diesel-battery-storage'!$L38</f>
        <v>-1.7649489999999997</v>
      </c>
      <c r="EF38" s="38">
        <f t="shared" si="26"/>
        <v>-0.10768107981436342</v>
      </c>
    </row>
    <row r="39" spans="1:136">
      <c r="A39" s="1"/>
      <c r="B39" s="2" t="s">
        <v>17</v>
      </c>
      <c r="C39" s="3">
        <v>8.0490790000000008</v>
      </c>
      <c r="D39" s="3" t="s">
        <v>10</v>
      </c>
      <c r="E39" s="3">
        <v>0</v>
      </c>
      <c r="F39" s="19">
        <v>540.66939300000001</v>
      </c>
      <c r="G39" s="19" t="s">
        <v>10</v>
      </c>
      <c r="H39" s="19">
        <v>223.02922799999999</v>
      </c>
      <c r="I39" s="19">
        <v>1084.824036</v>
      </c>
      <c r="J39" s="12">
        <f t="shared" si="27"/>
        <v>0.12012960429986855</v>
      </c>
      <c r="K39" s="12">
        <f t="shared" si="27"/>
        <v>0.58431571210777067</v>
      </c>
      <c r="L39" s="17">
        <f t="shared" si="28"/>
        <v>1856.5717359999999</v>
      </c>
      <c r="M39" s="24">
        <f>(0-'2. Diesel-battery-storage'!$M39)</f>
        <v>-93.122661720000011</v>
      </c>
      <c r="N39" s="24">
        <f>-(L12-'2. Diesel-battery-storage'!$G12)*L39/M39</f>
        <v>31.346895612703275</v>
      </c>
      <c r="O39" s="16">
        <f>L39-'2. Diesel-battery-storage'!$L39</f>
        <v>35.498435999999856</v>
      </c>
      <c r="P39" s="38">
        <f t="shared" si="29"/>
        <v>1.9493139567748237E-2</v>
      </c>
      <c r="R39" s="1"/>
      <c r="S39" s="2" t="s">
        <v>17</v>
      </c>
      <c r="T39" s="3">
        <v>8.935155</v>
      </c>
      <c r="U39" s="3" t="s">
        <v>10</v>
      </c>
      <c r="V39" s="3">
        <v>0</v>
      </c>
      <c r="W39" s="3">
        <v>442.33740499999999</v>
      </c>
      <c r="X39" s="3" t="s">
        <v>10</v>
      </c>
      <c r="Y39" s="19">
        <v>309.98940399999998</v>
      </c>
      <c r="Z39" s="19">
        <v>1047.4228900000001</v>
      </c>
      <c r="AA39" s="12">
        <f t="shared" si="30"/>
        <v>0.16696871873525063</v>
      </c>
      <c r="AB39" s="12">
        <f t="shared" si="31"/>
        <v>0.564170438281411</v>
      </c>
      <c r="AC39" s="17">
        <f t="shared" si="32"/>
        <v>1808.6848540000001</v>
      </c>
      <c r="AD39" s="24">
        <f>(0-'2. Diesel-battery-storage'!$M39)</f>
        <v>-93.122661720000011</v>
      </c>
      <c r="AE39" s="24">
        <f>-(AC12-'2. Diesel-battery-storage'!$G12)*AC39/AD39</f>
        <v>7.1799114196342462</v>
      </c>
      <c r="AF39" s="16">
        <f>AC39-'2. Diesel-battery-storage'!$L39</f>
        <v>-12.388445999999931</v>
      </c>
      <c r="AG39" s="38">
        <f t="shared" si="33"/>
        <v>-6.8028266627158445E-3</v>
      </c>
      <c r="AI39" s="1"/>
      <c r="AJ39" s="2" t="s">
        <v>17</v>
      </c>
      <c r="AK39" s="3">
        <v>7.744815</v>
      </c>
      <c r="AL39" s="3" t="s">
        <v>10</v>
      </c>
      <c r="AM39" s="3">
        <v>0</v>
      </c>
      <c r="AN39" s="3">
        <v>541.52372800000001</v>
      </c>
      <c r="AO39" s="3" t="s">
        <v>10</v>
      </c>
      <c r="AP39" s="19">
        <v>226.587087</v>
      </c>
      <c r="AQ39" s="19">
        <v>1086.653939</v>
      </c>
      <c r="AR39" s="12">
        <f t="shared" si="34"/>
        <v>0.12204596386250276</v>
      </c>
      <c r="AS39" s="12">
        <f t="shared" si="35"/>
        <v>0.58530134760168517</v>
      </c>
      <c r="AT39" s="17">
        <f t="shared" si="36"/>
        <v>1862.5095690000001</v>
      </c>
      <c r="AU39" s="24">
        <f>(0-'2. Diesel-battery-storage'!$M39)</f>
        <v>-93.122661720000011</v>
      </c>
      <c r="AV39" s="24">
        <f>-(AT12-'2. Diesel-battery-storage'!$G12)*AT39/AU39</f>
        <v>111.51166687824345</v>
      </c>
      <c r="AW39" s="16">
        <f>AT39-'2. Diesel-battery-storage'!$L39</f>
        <v>41.436269000000038</v>
      </c>
      <c r="AX39" s="38">
        <f t="shared" si="37"/>
        <v>2.2753762300507088E-2</v>
      </c>
      <c r="AZ39" s="1"/>
      <c r="BA39" s="2" t="s">
        <v>17</v>
      </c>
      <c r="BB39" s="3">
        <v>8.5361689999999992</v>
      </c>
      <c r="BC39" s="3" t="s">
        <v>10</v>
      </c>
      <c r="BD39" s="3">
        <v>0</v>
      </c>
      <c r="BE39" s="3">
        <v>448.68976400000003</v>
      </c>
      <c r="BF39" s="3" t="s">
        <v>10</v>
      </c>
      <c r="BG39" s="3">
        <v>309.39613300000002</v>
      </c>
      <c r="BH39" s="3">
        <v>1056.919969</v>
      </c>
      <c r="BI39" s="12">
        <f t="shared" si="38"/>
        <v>0.16664916684910688</v>
      </c>
      <c r="BJ39" s="12">
        <f t="shared" si="39"/>
        <v>0.56928582316842946</v>
      </c>
      <c r="BK39" s="17">
        <f t="shared" si="40"/>
        <v>1823.5420349999999</v>
      </c>
      <c r="BL39" s="24">
        <f>(0-'2. Diesel-battery-storage'!$M39)</f>
        <v>-93.122661720000011</v>
      </c>
      <c r="BM39" s="24">
        <f>-(BK12-'2. Diesel-battery-storage'!$G12)*BK39/BL39</f>
        <v>83.933966971202764</v>
      </c>
      <c r="BN39" s="16">
        <f>BK39-'2. Diesel-battery-storage'!$L39</f>
        <v>2.4687349999999242</v>
      </c>
      <c r="BO39" s="38">
        <f t="shared" si="41"/>
        <v>1.3556483421067807E-3</v>
      </c>
      <c r="BQ39" s="1"/>
      <c r="BR39" s="2" t="s">
        <v>17</v>
      </c>
      <c r="BS39" s="3">
        <v>18.717956999999998</v>
      </c>
      <c r="BT39" s="3" t="s">
        <v>10</v>
      </c>
      <c r="BU39" s="3">
        <v>0</v>
      </c>
      <c r="BV39" s="19">
        <v>977.30847800000004</v>
      </c>
      <c r="BW39" s="19" t="s">
        <v>10</v>
      </c>
      <c r="BX39" s="19">
        <v>394.24154399999998</v>
      </c>
      <c r="BY39" s="19">
        <v>64.014678000000004</v>
      </c>
      <c r="BZ39" s="12">
        <f t="shared" si="42"/>
        <v>0.21234921137461504</v>
      </c>
      <c r="CA39" s="12">
        <f t="shared" si="43"/>
        <v>3.4480045537006933E-2</v>
      </c>
      <c r="CB39" s="17">
        <f t="shared" si="44"/>
        <v>1454.282657</v>
      </c>
      <c r="CC39" s="24">
        <f>(0-'2. Diesel-battery-storage'!$M39)</f>
        <v>-93.122661720000011</v>
      </c>
      <c r="CD39" s="24">
        <f>-(BX12-'2. Diesel-battery-storage'!$G12)*CB39/CC39</f>
        <v>659.870296768039</v>
      </c>
      <c r="CE39" s="16">
        <f>CB39-'2. Diesel-battery-storage'!$L39</f>
        <v>-366.79064300000005</v>
      </c>
      <c r="CF39" s="38">
        <f t="shared" si="23"/>
        <v>-0.20141454108409587</v>
      </c>
      <c r="CG39" s="29">
        <f>-CD39*CC39/1000+'2. Diesel-battery-storage'!$AJ39</f>
        <v>-107.67973136667931</v>
      </c>
      <c r="CH39" s="41">
        <f>CG39/'0. Current system'!$L39*1000</f>
        <v>-129.74349390148313</v>
      </c>
      <c r="CI39" s="1"/>
      <c r="CJ39" s="2" t="s">
        <v>17</v>
      </c>
      <c r="CK39" s="3">
        <v>7.7047749999999997</v>
      </c>
      <c r="CL39" s="3" t="s">
        <v>10</v>
      </c>
      <c r="CM39" s="3">
        <v>0</v>
      </c>
      <c r="CN39" s="3">
        <v>744.60232800000006</v>
      </c>
      <c r="CO39" s="3" t="s">
        <v>10</v>
      </c>
      <c r="CP39" s="3">
        <v>366.02516100000003</v>
      </c>
      <c r="CQ39" s="3">
        <v>398.947382</v>
      </c>
      <c r="CR39" s="12">
        <f t="shared" si="45"/>
        <v>0.19715110054869436</v>
      </c>
      <c r="CS39" s="12">
        <f t="shared" si="46"/>
        <v>0.214883903629566</v>
      </c>
      <c r="CT39" s="17">
        <f t="shared" si="47"/>
        <v>1517.2796460000002</v>
      </c>
      <c r="CU39" s="24">
        <f>(0-'2. Diesel-battery-storage'!$M39)</f>
        <v>-93.122661720000011</v>
      </c>
      <c r="CV39" s="24">
        <f>-(CU12-'2. Diesel-battery-storage'!$G12)*CT39/CU39</f>
        <v>-1512.5288859343818</v>
      </c>
      <c r="CW39" s="16">
        <f>CT39-'2. Diesel-battery-storage'!$L39</f>
        <v>-303.79365399999983</v>
      </c>
      <c r="CX39" s="38">
        <f t="shared" si="24"/>
        <v>-0.16682121142515233</v>
      </c>
      <c r="CZ39" s="1"/>
      <c r="DA39" s="2" t="s">
        <v>17</v>
      </c>
      <c r="DB39" s="3">
        <v>7.7317609999999997</v>
      </c>
      <c r="DC39" s="3" t="s">
        <v>10</v>
      </c>
      <c r="DD39" s="3">
        <v>0</v>
      </c>
      <c r="DE39" s="3">
        <v>745.22734500000001</v>
      </c>
      <c r="DF39" s="3" t="s">
        <v>10</v>
      </c>
      <c r="DG39" s="3">
        <v>320.424622</v>
      </c>
      <c r="DH39" s="3">
        <v>557.81128100000001</v>
      </c>
      <c r="DI39" s="12">
        <f t="shared" si="48"/>
        <v>0.1725894107869797</v>
      </c>
      <c r="DJ39" s="12">
        <f t="shared" si="49"/>
        <v>0.3004523176690222</v>
      </c>
      <c r="DK39" s="17">
        <f t="shared" si="50"/>
        <v>1631.195009</v>
      </c>
      <c r="DL39" s="24">
        <f>(0-'2. Diesel-battery-storage'!$M39)</f>
        <v>-93.122661720000011</v>
      </c>
      <c r="DM39" s="24">
        <f>-(DL12-'2. Diesel-battery-storage'!$G12)*DK39/DL39</f>
        <v>-1626.0875681083867</v>
      </c>
      <c r="DN39" s="16">
        <f>DK39-'2. Diesel-battery-storage'!$L39</f>
        <v>-189.87829099999999</v>
      </c>
      <c r="DO39" s="38">
        <f t="shared" si="25"/>
        <v>-0.10426724229057666</v>
      </c>
      <c r="DQ39" s="1"/>
      <c r="DR39" s="2" t="s">
        <v>17</v>
      </c>
      <c r="DS39" s="3">
        <v>16.396304000000001</v>
      </c>
      <c r="DT39" s="3" t="s">
        <v>10</v>
      </c>
      <c r="DU39" s="3">
        <v>0</v>
      </c>
      <c r="DV39" s="3">
        <v>965.93502699999999</v>
      </c>
      <c r="DW39" s="3" t="s">
        <v>10</v>
      </c>
      <c r="DX39" s="3">
        <v>540.03032900000005</v>
      </c>
      <c r="DY39" s="3">
        <v>63.987738999999998</v>
      </c>
      <c r="DZ39" s="12">
        <f t="shared" si="51"/>
        <v>0.29087501362242008</v>
      </c>
      <c r="EA39" s="12">
        <f t="shared" si="52"/>
        <v>3.4465535459385022E-2</v>
      </c>
      <c r="EB39" s="17">
        <f t="shared" si="53"/>
        <v>1586.3493989999999</v>
      </c>
      <c r="EC39" s="24">
        <f>(0-'2. Diesel-battery-storage'!$M39)</f>
        <v>-93.122661720000011</v>
      </c>
      <c r="ED39" s="24">
        <f>-(EC12-'2. Diesel-battery-storage'!$G12)*EB39/EC39</f>
        <v>-1581.3823743682815</v>
      </c>
      <c r="EE39" s="16">
        <f>EB39-'2. Diesel-battery-storage'!$L39</f>
        <v>-234.72390100000007</v>
      </c>
      <c r="EF39" s="38">
        <f t="shared" si="26"/>
        <v>-0.12889316481659474</v>
      </c>
    </row>
    <row r="40" spans="1:136">
      <c r="A40" s="1"/>
      <c r="B40" s="2" t="s">
        <v>18</v>
      </c>
      <c r="C40" s="3" t="s">
        <v>10</v>
      </c>
      <c r="D40" s="3" t="s">
        <v>10</v>
      </c>
      <c r="E40" s="3">
        <v>0</v>
      </c>
      <c r="F40" s="19">
        <v>323.13456300000001</v>
      </c>
      <c r="G40" s="19" t="s">
        <v>10</v>
      </c>
      <c r="H40" s="19">
        <v>1.971009</v>
      </c>
      <c r="I40" s="19">
        <v>8.5756639999999997</v>
      </c>
      <c r="J40" s="12">
        <f t="shared" si="27"/>
        <v>5.9068619609164959E-3</v>
      </c>
      <c r="K40" s="12">
        <f t="shared" si="27"/>
        <v>2.570016852850545E-2</v>
      </c>
      <c r="L40" s="17">
        <f t="shared" si="28"/>
        <v>333.68123600000001</v>
      </c>
      <c r="M40" s="24">
        <f>(0-'2. Diesel-battery-storage'!$M40)</f>
        <v>-14.235873960000001</v>
      </c>
      <c r="N40" s="24">
        <f>-(L13-'2. Diesel-battery-storage'!$G13)*L40/M40</f>
        <v>1508.5989194419456</v>
      </c>
      <c r="O40" s="16">
        <f>L40-'2. Diesel-battery-storage'!$L40</f>
        <v>60.498386000000039</v>
      </c>
      <c r="P40" s="38">
        <f t="shared" si="29"/>
        <v>0.22145748168305604</v>
      </c>
      <c r="R40" s="1"/>
      <c r="S40" s="2" t="s">
        <v>18</v>
      </c>
      <c r="T40" s="3" t="s">
        <v>10</v>
      </c>
      <c r="U40" s="3" t="s">
        <v>10</v>
      </c>
      <c r="V40" s="3">
        <v>0</v>
      </c>
      <c r="W40" s="3">
        <v>323.027109</v>
      </c>
      <c r="X40" s="3" t="s">
        <v>10</v>
      </c>
      <c r="Y40" s="19">
        <v>1.9443060000000001</v>
      </c>
      <c r="Z40" s="19">
        <v>8.5318140000000007</v>
      </c>
      <c r="AA40" s="12">
        <f t="shared" si="30"/>
        <v>5.8268364841468044E-3</v>
      </c>
      <c r="AB40" s="12">
        <f t="shared" si="31"/>
        <v>2.5568755685141373E-2</v>
      </c>
      <c r="AC40" s="17">
        <f t="shared" si="32"/>
        <v>333.50322899999998</v>
      </c>
      <c r="AD40" s="24">
        <f>(0-'2. Diesel-battery-storage'!$M40)</f>
        <v>-14.235873960000001</v>
      </c>
      <c r="AE40" s="24">
        <f>-(AC13-'2. Diesel-battery-storage'!$G13)*AC40/AD40</f>
        <v>1509.6577118168505</v>
      </c>
      <c r="AF40" s="16">
        <f>AC40-'2. Diesel-battery-storage'!$L40</f>
        <v>60.320379000000003</v>
      </c>
      <c r="AG40" s="38">
        <f t="shared" si="33"/>
        <v>0.2208058778213933</v>
      </c>
      <c r="AI40" s="1"/>
      <c r="AJ40" s="2" t="s">
        <v>18</v>
      </c>
      <c r="AK40" s="3" t="s">
        <v>10</v>
      </c>
      <c r="AL40" s="3" t="s">
        <v>10</v>
      </c>
      <c r="AM40" s="3">
        <v>0</v>
      </c>
      <c r="AN40" s="3">
        <v>321.67773899999997</v>
      </c>
      <c r="AO40" s="3" t="s">
        <v>10</v>
      </c>
      <c r="AP40" s="19">
        <v>1.802187</v>
      </c>
      <c r="AQ40" s="19">
        <v>8.3381360000000004</v>
      </c>
      <c r="AR40" s="12">
        <f t="shared" si="34"/>
        <v>5.4009240124008647E-3</v>
      </c>
      <c r="AS40" s="12">
        <f t="shared" si="35"/>
        <v>2.4988327482699687E-2</v>
      </c>
      <c r="AT40" s="17">
        <f t="shared" si="36"/>
        <v>331.818062</v>
      </c>
      <c r="AU40" s="24">
        <f>(0-'2. Diesel-battery-storage'!$M40)</f>
        <v>-14.235873960000001</v>
      </c>
      <c r="AV40" s="24">
        <f>-(AT13-'2. Diesel-battery-storage'!$G13)*AT40/AU40</f>
        <v>1502.0908844356522</v>
      </c>
      <c r="AW40" s="16">
        <f>AT40-'2. Diesel-battery-storage'!$L40</f>
        <v>58.635212000000024</v>
      </c>
      <c r="AX40" s="38">
        <f t="shared" si="37"/>
        <v>0.21463723656151926</v>
      </c>
      <c r="AZ40" s="1"/>
      <c r="BA40" s="2" t="s">
        <v>18</v>
      </c>
      <c r="BB40" s="3" t="s">
        <v>10</v>
      </c>
      <c r="BC40" s="3" t="s">
        <v>10</v>
      </c>
      <c r="BD40" s="3">
        <v>0</v>
      </c>
      <c r="BE40" s="3">
        <v>316.51410399999997</v>
      </c>
      <c r="BF40" s="3" t="s">
        <v>10</v>
      </c>
      <c r="BG40" s="3">
        <v>1.5272429999999999</v>
      </c>
      <c r="BH40" s="3">
        <v>8.0337119999999995</v>
      </c>
      <c r="BI40" s="12">
        <f t="shared" si="38"/>
        <v>4.5769519985834617E-3</v>
      </c>
      <c r="BJ40" s="12">
        <f t="shared" si="39"/>
        <v>2.4076007678178222E-2</v>
      </c>
      <c r="BK40" s="17">
        <f t="shared" si="40"/>
        <v>326.07505899999995</v>
      </c>
      <c r="BL40" s="24">
        <f>(0-'2. Diesel-battery-storage'!$M40)</f>
        <v>-14.235873960000001</v>
      </c>
      <c r="BM40" s="24">
        <f>-(BK13-'2. Diesel-battery-storage'!$G13)*BK40/BL40</f>
        <v>1397.3041376762092</v>
      </c>
      <c r="BN40" s="16">
        <f>BK40-'2. Diesel-battery-storage'!$L40</f>
        <v>52.89220899999998</v>
      </c>
      <c r="BO40" s="38">
        <f t="shared" si="41"/>
        <v>0.19361467603109048</v>
      </c>
      <c r="BQ40" s="1"/>
      <c r="BR40" s="2" t="s">
        <v>18</v>
      </c>
      <c r="BS40" s="3" t="s">
        <v>10</v>
      </c>
      <c r="BT40" s="3" t="s">
        <v>10</v>
      </c>
      <c r="BU40" s="3">
        <v>0</v>
      </c>
      <c r="BV40" s="19">
        <v>351.53816599999999</v>
      </c>
      <c r="BW40" s="19" t="s">
        <v>10</v>
      </c>
      <c r="BX40" s="19">
        <v>2.6145900000000002</v>
      </c>
      <c r="BY40" s="19">
        <v>9.4336859999999998</v>
      </c>
      <c r="BZ40" s="12">
        <f t="shared" si="42"/>
        <v>7.8355919300179058E-3</v>
      </c>
      <c r="CA40" s="12">
        <f t="shared" si="43"/>
        <v>2.8271550756303238E-2</v>
      </c>
      <c r="CB40" s="17">
        <f t="shared" si="44"/>
        <v>363.58644200000003</v>
      </c>
      <c r="CC40" s="24">
        <f>(0-'2. Diesel-battery-storage'!$M40)</f>
        <v>-14.235873960000001</v>
      </c>
      <c r="CD40" s="24">
        <f>-(BX13-'2. Diesel-battery-storage'!$G13)*CB40/CC40</f>
        <v>1191.4150410853101</v>
      </c>
      <c r="CE40" s="16">
        <f>CB40-'2. Diesel-battery-storage'!$L40</f>
        <v>90.40359200000006</v>
      </c>
      <c r="CF40" s="38">
        <f t="shared" si="23"/>
        <v>0.33092704025893305</v>
      </c>
      <c r="CG40" s="29">
        <f>-CD40*CC40/1000+'2. Diesel-battery-storage'!$AJ40</f>
        <v>-9.477077109960252</v>
      </c>
      <c r="CH40" s="41">
        <f>CG40/'0. Current system'!$L40*1000</f>
        <v>-55.019305781524324</v>
      </c>
      <c r="CI40" s="1"/>
      <c r="CJ40" s="2" t="s">
        <v>18</v>
      </c>
      <c r="CK40" s="3" t="s">
        <v>10</v>
      </c>
      <c r="CL40" s="3" t="s">
        <v>10</v>
      </c>
      <c r="CM40" s="3">
        <v>0</v>
      </c>
      <c r="CN40" s="3">
        <v>236.257802</v>
      </c>
      <c r="CO40" s="3" t="s">
        <v>10</v>
      </c>
      <c r="CP40" s="3">
        <v>16.214804000000001</v>
      </c>
      <c r="CQ40" s="3">
        <v>8.1865659999999991</v>
      </c>
      <c r="CR40" s="12">
        <f t="shared" si="45"/>
        <v>4.8593694372433938E-2</v>
      </c>
      <c r="CS40" s="12">
        <f t="shared" si="46"/>
        <v>2.45340915723532E-2</v>
      </c>
      <c r="CT40" s="17">
        <f t="shared" si="47"/>
        <v>260.65917200000001</v>
      </c>
      <c r="CU40" s="24">
        <f>(0-'2. Diesel-battery-storage'!$M40)</f>
        <v>-14.235873960000001</v>
      </c>
      <c r="CV40" s="24">
        <f>-(CU13-'2. Diesel-battery-storage'!$G13)*CT40/CU40</f>
        <v>-1851.285723069029</v>
      </c>
      <c r="CW40" s="16">
        <f>CT40-'2. Diesel-battery-storage'!$L40</f>
        <v>-12.523677999999961</v>
      </c>
      <c r="CX40" s="38">
        <f t="shared" si="24"/>
        <v>-4.5843573269698158E-2</v>
      </c>
      <c r="CZ40" s="1"/>
      <c r="DA40" s="2" t="s">
        <v>18</v>
      </c>
      <c r="DB40" s="3" t="s">
        <v>10</v>
      </c>
      <c r="DC40" s="3" t="s">
        <v>10</v>
      </c>
      <c r="DD40" s="3">
        <v>0</v>
      </c>
      <c r="DE40" s="3">
        <v>242.00221500000001</v>
      </c>
      <c r="DF40" s="3" t="s">
        <v>10</v>
      </c>
      <c r="DG40" s="3">
        <v>1.688572</v>
      </c>
      <c r="DH40" s="3">
        <v>7.3896280000000001</v>
      </c>
      <c r="DI40" s="12">
        <f t="shared" si="48"/>
        <v>5.0604343841497874E-3</v>
      </c>
      <c r="DJ40" s="12">
        <f t="shared" si="49"/>
        <v>2.2145770282390106E-2</v>
      </c>
      <c r="DK40" s="17">
        <f t="shared" si="50"/>
        <v>251.08041499999999</v>
      </c>
      <c r="DL40" s="24">
        <f>(0-'2. Diesel-battery-storage'!$M40)</f>
        <v>-14.235873960000001</v>
      </c>
      <c r="DM40" s="24">
        <f>-(DL13-'2. Diesel-battery-storage'!$G13)*DK40/DL40</f>
        <v>-1783.254293586672</v>
      </c>
      <c r="DN40" s="16">
        <f>DK40-'2. Diesel-battery-storage'!$L40</f>
        <v>-22.102434999999986</v>
      </c>
      <c r="DO40" s="38">
        <f t="shared" si="25"/>
        <v>-8.0907110384125458E-2</v>
      </c>
      <c r="DQ40" s="1"/>
      <c r="DR40" s="2" t="s">
        <v>18</v>
      </c>
      <c r="DS40" s="3" t="s">
        <v>10</v>
      </c>
      <c r="DT40" s="3" t="s">
        <v>10</v>
      </c>
      <c r="DU40" s="3">
        <v>0</v>
      </c>
      <c r="DV40" s="3">
        <v>386.24739399999999</v>
      </c>
      <c r="DW40" s="3" t="s">
        <v>10</v>
      </c>
      <c r="DX40" s="3">
        <v>2.6024880000000001</v>
      </c>
      <c r="DY40" s="3">
        <v>9.4116280000000003</v>
      </c>
      <c r="DZ40" s="12">
        <f t="shared" si="51"/>
        <v>7.7993237833727039E-3</v>
      </c>
      <c r="EA40" s="12">
        <f t="shared" si="52"/>
        <v>2.8205445750626505E-2</v>
      </c>
      <c r="EB40" s="17">
        <f t="shared" si="53"/>
        <v>398.26150999999999</v>
      </c>
      <c r="EC40" s="24">
        <f>(0-'2. Diesel-battery-storage'!$M40)</f>
        <v>-14.235873960000001</v>
      </c>
      <c r="ED40" s="24">
        <f>-(EC13-'2. Diesel-battery-storage'!$G13)*EB40/EC40</f>
        <v>-2828.582020934653</v>
      </c>
      <c r="EE40" s="16">
        <f>EB40-'2. Diesel-battery-storage'!$L40</f>
        <v>125.07866000000001</v>
      </c>
      <c r="EF40" s="38">
        <f t="shared" si="26"/>
        <v>0.45785692623091101</v>
      </c>
    </row>
    <row r="41" spans="1:136">
      <c r="A41" s="1"/>
      <c r="B41" s="2" t="s">
        <v>19</v>
      </c>
      <c r="C41" s="3" t="s">
        <v>10</v>
      </c>
      <c r="D41" s="3" t="s">
        <v>10</v>
      </c>
      <c r="E41" s="3">
        <v>0</v>
      </c>
      <c r="F41" s="19">
        <v>0</v>
      </c>
      <c r="G41" s="19">
        <v>2.97736</v>
      </c>
      <c r="H41" s="19">
        <v>28.823256000000001</v>
      </c>
      <c r="I41" s="19">
        <v>163.487324</v>
      </c>
      <c r="J41" s="12">
        <f t="shared" si="27"/>
        <v>0.14759363020573621</v>
      </c>
      <c r="K41" s="12">
        <f t="shared" si="27"/>
        <v>0.83716036945240968</v>
      </c>
      <c r="L41" s="17">
        <f t="shared" si="28"/>
        <v>195.28793999999999</v>
      </c>
      <c r="M41" s="24">
        <f>(0-'2. Diesel-battery-storage'!$M41)</f>
        <v>-5.7058056000000006</v>
      </c>
      <c r="N41" s="24">
        <f>-(L14-'2. Diesel-battery-storage'!$G14)*L41/M41</f>
        <v>1865.5580357679655</v>
      </c>
      <c r="O41" s="16">
        <f>L41-'2. Diesel-battery-storage'!$L41</f>
        <v>13.171339999999987</v>
      </c>
      <c r="P41" s="38">
        <f t="shared" si="29"/>
        <v>7.23236651683591E-2</v>
      </c>
      <c r="R41" s="1"/>
      <c r="S41" s="2" t="s">
        <v>19</v>
      </c>
      <c r="T41" s="3" t="s">
        <v>10</v>
      </c>
      <c r="U41" s="3" t="s">
        <v>10</v>
      </c>
      <c r="V41" s="3">
        <v>0</v>
      </c>
      <c r="W41" s="3">
        <v>0</v>
      </c>
      <c r="X41" s="3">
        <v>3.306486</v>
      </c>
      <c r="Y41" s="19">
        <v>18.974917000000001</v>
      </c>
      <c r="Z41" s="19">
        <v>152.429025</v>
      </c>
      <c r="AA41" s="12">
        <f t="shared" si="30"/>
        <v>9.7163793114925595E-2</v>
      </c>
      <c r="AB41" s="12">
        <f t="shared" si="31"/>
        <v>0.78053475806032879</v>
      </c>
      <c r="AC41" s="17">
        <f t="shared" si="32"/>
        <v>174.71042800000001</v>
      </c>
      <c r="AD41" s="24">
        <f>(0-'2. Diesel-battery-storage'!$M41)</f>
        <v>-5.7058056000000006</v>
      </c>
      <c r="AE41" s="24">
        <f>-(AC14-'2. Diesel-battery-storage'!$G14)*AC41/AD41</f>
        <v>1972.3445527186179</v>
      </c>
      <c r="AF41" s="16">
        <f>AC41-'2. Diesel-battery-storage'!$L41</f>
        <v>-7.406171999999998</v>
      </c>
      <c r="AG41" s="38">
        <f t="shared" si="33"/>
        <v>-4.0667198926402082E-2</v>
      </c>
      <c r="AI41" s="1"/>
      <c r="AJ41" s="2" t="s">
        <v>19</v>
      </c>
      <c r="AK41" s="3" t="s">
        <v>10</v>
      </c>
      <c r="AL41" s="3" t="s">
        <v>10</v>
      </c>
      <c r="AM41" s="3">
        <v>0</v>
      </c>
      <c r="AN41" s="3">
        <v>0</v>
      </c>
      <c r="AO41" s="3">
        <v>2.9023300000000001</v>
      </c>
      <c r="AP41" s="19">
        <v>29.267240999999999</v>
      </c>
      <c r="AQ41" s="19">
        <v>162.77195499999999</v>
      </c>
      <c r="AR41" s="12">
        <f t="shared" si="34"/>
        <v>0.14986711929062285</v>
      </c>
      <c r="AS41" s="12">
        <f t="shared" si="35"/>
        <v>0.83349721954156508</v>
      </c>
      <c r="AT41" s="17">
        <f t="shared" si="36"/>
        <v>194.94152599999998</v>
      </c>
      <c r="AU41" s="24">
        <f>(0-'2. Diesel-battery-storage'!$M41)</f>
        <v>-5.7058056000000006</v>
      </c>
      <c r="AV41" s="24">
        <f>-(AT14-'2. Diesel-battery-storage'!$G14)*AT41/AU41</f>
        <v>2137.1542427494355</v>
      </c>
      <c r="AW41" s="16">
        <f>AT41-'2. Diesel-battery-storage'!$L41</f>
        <v>12.824925999999977</v>
      </c>
      <c r="AX41" s="38">
        <f t="shared" si="37"/>
        <v>7.0421510175349075E-2</v>
      </c>
      <c r="AZ41" s="1"/>
      <c r="BA41" s="2" t="s">
        <v>19</v>
      </c>
      <c r="BB41" s="3" t="s">
        <v>10</v>
      </c>
      <c r="BC41" s="3" t="s">
        <v>10</v>
      </c>
      <c r="BD41" s="3">
        <v>0</v>
      </c>
      <c r="BE41" s="3">
        <v>0</v>
      </c>
      <c r="BF41" s="3">
        <v>3.309205</v>
      </c>
      <c r="BG41" s="3">
        <v>18.990203000000001</v>
      </c>
      <c r="BH41" s="3">
        <v>152.45113900000001</v>
      </c>
      <c r="BI41" s="12">
        <f t="shared" si="38"/>
        <v>9.7242067277682392E-2</v>
      </c>
      <c r="BJ41" s="12">
        <f t="shared" si="39"/>
        <v>0.78064799597968015</v>
      </c>
      <c r="BK41" s="17">
        <f t="shared" si="40"/>
        <v>174.75054700000001</v>
      </c>
      <c r="BL41" s="24">
        <f>(0-'2. Diesel-battery-storage'!$M41)</f>
        <v>-5.7058056000000006</v>
      </c>
      <c r="BM41" s="24">
        <f>-(BK14-'2. Diesel-battery-storage'!$G14)*BK41/BL41</f>
        <v>2132.9852529945151</v>
      </c>
      <c r="BN41" s="16">
        <f>BK41-'2. Diesel-battery-storage'!$L41</f>
        <v>-7.3660529999999937</v>
      </c>
      <c r="BO41" s="38">
        <f t="shared" si="41"/>
        <v>-4.0446905993193338E-2</v>
      </c>
      <c r="BQ41" s="1"/>
      <c r="BR41" s="2" t="s">
        <v>19</v>
      </c>
      <c r="BS41" s="3" t="s">
        <v>10</v>
      </c>
      <c r="BT41" s="3" t="s">
        <v>10</v>
      </c>
      <c r="BU41" s="3">
        <v>0</v>
      </c>
      <c r="BV41" s="19">
        <v>186.15365</v>
      </c>
      <c r="BW41" s="19">
        <v>55.949413999999997</v>
      </c>
      <c r="BX41" s="19">
        <v>34.327455</v>
      </c>
      <c r="BY41" s="19">
        <v>0</v>
      </c>
      <c r="BZ41" s="12">
        <f t="shared" si="42"/>
        <v>0.17577867327598418</v>
      </c>
      <c r="CA41" s="12">
        <f t="shared" si="43"/>
        <v>0</v>
      </c>
      <c r="CB41" s="17">
        <f t="shared" si="44"/>
        <v>276.430519</v>
      </c>
      <c r="CC41" s="24">
        <f>(0-'2. Diesel-battery-storage'!$M41)</f>
        <v>-5.7058056000000006</v>
      </c>
      <c r="CD41" s="24">
        <f>-(BX14-'2. Diesel-battery-storage'!$G14)*CB41/CC41</f>
        <v>2210.3094083221272</v>
      </c>
      <c r="CE41" s="16">
        <f>CB41-'2. Diesel-battery-storage'!$L41</f>
        <v>94.313918999999999</v>
      </c>
      <c r="CF41" s="38">
        <f t="shared" si="23"/>
        <v>0.51787656369600577</v>
      </c>
      <c r="CG41" s="29">
        <f>-CD41*CC41/1000+'2. Diesel-battery-storage'!$AJ41</f>
        <v>-6.5892683934157219</v>
      </c>
      <c r="CH41" s="41">
        <f>CG41/'0. Current system'!$L41*1000</f>
        <v>-76.862939647207952</v>
      </c>
      <c r="CI41" s="1"/>
      <c r="CJ41" s="2" t="s">
        <v>19</v>
      </c>
      <c r="CK41" s="3" t="s">
        <v>10</v>
      </c>
      <c r="CL41" s="3" t="s">
        <v>10</v>
      </c>
      <c r="CM41" s="3">
        <v>0</v>
      </c>
      <c r="CN41" s="3">
        <v>0</v>
      </c>
      <c r="CO41" s="3">
        <v>4.6170400000000003</v>
      </c>
      <c r="CP41" s="3">
        <v>70.008172999999999</v>
      </c>
      <c r="CQ41" s="3">
        <v>325.88358299999999</v>
      </c>
      <c r="CR41" s="12">
        <f t="shared" si="45"/>
        <v>0.35848692448699088</v>
      </c>
      <c r="CS41" s="12">
        <f t="shared" si="46"/>
        <v>1.6687337835608282</v>
      </c>
      <c r="CT41" s="17">
        <f t="shared" si="47"/>
        <v>400.50879599999996</v>
      </c>
      <c r="CU41" s="24">
        <f>(0-'2. Diesel-battery-storage'!$M41)</f>
        <v>-5.7058056000000006</v>
      </c>
      <c r="CV41" s="24">
        <f>-(CU14-'2. Diesel-battery-storage'!$G14)*CT41/CU41</f>
        <v>-3634.237801662237</v>
      </c>
      <c r="CW41" s="16">
        <f>CT41-'2. Diesel-battery-storage'!$L41</f>
        <v>218.39219599999996</v>
      </c>
      <c r="CX41" s="38">
        <f t="shared" si="24"/>
        <v>1.1991888493415754</v>
      </c>
      <c r="CZ41" s="1"/>
      <c r="DA41" s="2" t="s">
        <v>19</v>
      </c>
      <c r="DB41" s="3" t="s">
        <v>10</v>
      </c>
      <c r="DC41" s="3" t="s">
        <v>10</v>
      </c>
      <c r="DD41" s="3">
        <v>0</v>
      </c>
      <c r="DE41" s="3">
        <v>0</v>
      </c>
      <c r="DF41" s="3">
        <v>4.4418340000000001</v>
      </c>
      <c r="DG41" s="3">
        <v>60.78058</v>
      </c>
      <c r="DH41" s="3">
        <v>278.77045900000002</v>
      </c>
      <c r="DI41" s="12">
        <f t="shared" si="48"/>
        <v>0.31123570661864736</v>
      </c>
      <c r="DJ41" s="12">
        <f t="shared" si="49"/>
        <v>1.427484252227762</v>
      </c>
      <c r="DK41" s="17">
        <f t="shared" si="50"/>
        <v>343.99287300000003</v>
      </c>
      <c r="DL41" s="24">
        <f>(0-'2. Diesel-battery-storage'!$M41)</f>
        <v>-5.7058056000000006</v>
      </c>
      <c r="DM41" s="24">
        <f>-(DL14-'2. Diesel-battery-storage'!$G14)*DK41/DL41</f>
        <v>-3121.4093549121385</v>
      </c>
      <c r="DN41" s="16">
        <f>DK41-'2. Diesel-battery-storage'!$L41</f>
        <v>161.87627300000003</v>
      </c>
      <c r="DO41" s="38">
        <f t="shared" si="25"/>
        <v>0.88886061457330101</v>
      </c>
      <c r="DQ41" s="1"/>
      <c r="DR41" s="2" t="s">
        <v>19</v>
      </c>
      <c r="DS41" s="3" t="s">
        <v>10</v>
      </c>
      <c r="DT41" s="3" t="s">
        <v>10</v>
      </c>
      <c r="DU41" s="3">
        <v>0</v>
      </c>
      <c r="DV41" s="3">
        <v>185.514838</v>
      </c>
      <c r="DW41" s="3">
        <v>57.912255000000002</v>
      </c>
      <c r="DX41" s="3">
        <v>3.1373920000000002</v>
      </c>
      <c r="DY41" s="3">
        <v>0</v>
      </c>
      <c r="DZ41" s="12">
        <f t="shared" si="51"/>
        <v>1.6065467227520554E-2</v>
      </c>
      <c r="EA41" s="12">
        <f t="shared" si="52"/>
        <v>0</v>
      </c>
      <c r="EB41" s="17">
        <f t="shared" si="53"/>
        <v>246.56448500000002</v>
      </c>
      <c r="EC41" s="24">
        <f>(0-'2. Diesel-battery-storage'!$M41)</f>
        <v>-5.7058056000000006</v>
      </c>
      <c r="ED41" s="24">
        <f>-(EC14-'2. Diesel-battery-storage'!$G14)*EB41/EC41</f>
        <v>-2237.3390569289313</v>
      </c>
      <c r="EE41" s="16">
        <f>EB41-'2. Diesel-battery-storage'!$L41</f>
        <v>64.447885000000014</v>
      </c>
      <c r="EF41" s="38">
        <f t="shared" si="26"/>
        <v>0.35388254008695536</v>
      </c>
    </row>
    <row r="42" spans="1:136">
      <c r="A42" s="1"/>
      <c r="R42" s="1"/>
      <c r="AI42" s="1"/>
      <c r="AZ42" s="1"/>
      <c r="BQ42" s="1"/>
      <c r="CI42" s="1"/>
      <c r="CZ42" s="1"/>
      <c r="DQ42" s="1"/>
    </row>
    <row r="43" spans="1:136">
      <c r="A43" s="1"/>
      <c r="B43" s="2" t="s">
        <v>9</v>
      </c>
      <c r="C43" t="e">
        <f t="shared" ref="C43:I43" si="54">C32/(C19*8.76)</f>
        <v>#VALUE!</v>
      </c>
      <c r="D43" t="e">
        <f t="shared" si="54"/>
        <v>#VALUE!</v>
      </c>
      <c r="E43" s="6" t="e">
        <f t="shared" si="54"/>
        <v>#DIV/0!</v>
      </c>
      <c r="F43" s="6" t="e">
        <f t="shared" si="54"/>
        <v>#VALUE!</v>
      </c>
      <c r="G43" s="6" t="e">
        <f t="shared" si="54"/>
        <v>#VALUE!</v>
      </c>
      <c r="H43" s="6">
        <f t="shared" si="54"/>
        <v>0.13605863637447221</v>
      </c>
      <c r="I43" s="6" t="e">
        <f t="shared" si="54"/>
        <v>#DIV/0!</v>
      </c>
      <c r="J43" s="6"/>
      <c r="K43" s="6"/>
      <c r="L43" s="6"/>
      <c r="M43" s="6"/>
      <c r="N43" s="6"/>
      <c r="O43" s="6"/>
      <c r="P43" s="6"/>
      <c r="R43" s="1"/>
      <c r="S43" s="2" t="s">
        <v>9</v>
      </c>
      <c r="T43" t="e">
        <f t="shared" ref="T43:Z43" si="55">T32/(T19*8.76)</f>
        <v>#VALUE!</v>
      </c>
      <c r="U43" t="e">
        <f t="shared" si="55"/>
        <v>#VALUE!</v>
      </c>
      <c r="V43" s="6" t="e">
        <f t="shared" si="55"/>
        <v>#DIV/0!</v>
      </c>
      <c r="W43" s="6" t="e">
        <f t="shared" si="55"/>
        <v>#VALUE!</v>
      </c>
      <c r="X43" s="6" t="e">
        <f t="shared" si="55"/>
        <v>#VALUE!</v>
      </c>
      <c r="Y43" s="6">
        <f t="shared" si="55"/>
        <v>0.13338066318021022</v>
      </c>
      <c r="Z43" s="6" t="e">
        <f t="shared" si="55"/>
        <v>#DIV/0!</v>
      </c>
      <c r="AA43" s="6"/>
      <c r="AB43" s="6"/>
      <c r="AC43" s="6"/>
      <c r="AD43" s="6"/>
      <c r="AE43" s="6"/>
      <c r="AF43" s="6"/>
      <c r="AG43" s="6"/>
      <c r="AI43" s="1"/>
      <c r="AJ43" s="2" t="s">
        <v>9</v>
      </c>
      <c r="AK43" t="e">
        <f t="shared" ref="AK43:AQ43" si="56">AK32/(AK19*8.76)</f>
        <v>#VALUE!</v>
      </c>
      <c r="AL43" t="e">
        <f t="shared" si="56"/>
        <v>#VALUE!</v>
      </c>
      <c r="AM43" s="6" t="e">
        <f t="shared" si="56"/>
        <v>#DIV/0!</v>
      </c>
      <c r="AN43" s="6" t="e">
        <f t="shared" si="56"/>
        <v>#VALUE!</v>
      </c>
      <c r="AO43" s="6" t="e">
        <f t="shared" si="56"/>
        <v>#VALUE!</v>
      </c>
      <c r="AP43" s="6">
        <f t="shared" si="56"/>
        <v>0.12232069775391327</v>
      </c>
      <c r="AQ43" s="6" t="e">
        <f t="shared" si="56"/>
        <v>#DIV/0!</v>
      </c>
      <c r="AR43" s="6"/>
      <c r="AS43" s="6"/>
      <c r="AT43" s="6"/>
      <c r="AU43" s="6"/>
      <c r="AV43" s="6"/>
      <c r="AW43" s="6"/>
      <c r="AX43" s="6"/>
      <c r="AZ43" s="1"/>
      <c r="BA43" s="2" t="s">
        <v>9</v>
      </c>
      <c r="BB43" t="e">
        <f t="shared" ref="BB43:BH43" si="57">BB32/(BB19*8.76)</f>
        <v>#VALUE!</v>
      </c>
      <c r="BC43" t="e">
        <f t="shared" si="57"/>
        <v>#VALUE!</v>
      </c>
      <c r="BD43" s="6" t="e">
        <f t="shared" si="57"/>
        <v>#DIV/0!</v>
      </c>
      <c r="BE43" s="6" t="e">
        <f t="shared" si="57"/>
        <v>#VALUE!</v>
      </c>
      <c r="BF43" s="6" t="e">
        <f t="shared" si="57"/>
        <v>#VALUE!</v>
      </c>
      <c r="BG43" s="6">
        <f t="shared" si="57"/>
        <v>0.12026263189336425</v>
      </c>
      <c r="BH43" s="6" t="e">
        <f t="shared" si="57"/>
        <v>#DIV/0!</v>
      </c>
      <c r="BI43" s="6"/>
      <c r="BJ43" s="6"/>
      <c r="BK43" s="6"/>
      <c r="BL43" s="6"/>
      <c r="BM43" s="6"/>
      <c r="BN43" s="6"/>
      <c r="BO43" s="6"/>
      <c r="BQ43" s="1"/>
      <c r="BR43" s="2" t="s">
        <v>9</v>
      </c>
      <c r="BS43" t="e">
        <f t="shared" ref="BS43:BY43" si="58">BS32/(BS19*8.76)</f>
        <v>#VALUE!</v>
      </c>
      <c r="BT43" t="e">
        <f t="shared" si="58"/>
        <v>#VALUE!</v>
      </c>
      <c r="BU43" s="6" t="e">
        <f t="shared" si="58"/>
        <v>#DIV/0!</v>
      </c>
      <c r="BV43" s="6" t="e">
        <f t="shared" si="58"/>
        <v>#VALUE!</v>
      </c>
      <c r="BW43" s="6" t="e">
        <f t="shared" si="58"/>
        <v>#VALUE!</v>
      </c>
      <c r="BX43" s="6">
        <f t="shared" si="58"/>
        <v>0.19863321226064154</v>
      </c>
      <c r="BY43" s="6" t="e">
        <f t="shared" si="58"/>
        <v>#DIV/0!</v>
      </c>
      <c r="BZ43" s="6"/>
      <c r="CA43" s="6"/>
      <c r="CB43" s="6"/>
      <c r="CC43" s="6"/>
      <c r="CD43" s="6"/>
      <c r="CE43" s="6"/>
      <c r="CF43" s="6"/>
      <c r="CI43" s="1"/>
      <c r="CJ43" s="2" t="s">
        <v>9</v>
      </c>
      <c r="CK43" t="e">
        <f t="shared" ref="CK43:CQ43" si="59">CK32/(CK19*8.76)</f>
        <v>#VALUE!</v>
      </c>
      <c r="CL43" t="e">
        <f t="shared" si="59"/>
        <v>#VALUE!</v>
      </c>
      <c r="CM43" s="6" t="e">
        <f t="shared" si="59"/>
        <v>#DIV/0!</v>
      </c>
      <c r="CN43" s="6" t="e">
        <f t="shared" si="59"/>
        <v>#VALUE!</v>
      </c>
      <c r="CO43" s="6" t="e">
        <f t="shared" si="59"/>
        <v>#VALUE!</v>
      </c>
      <c r="CP43" s="6">
        <f t="shared" si="59"/>
        <v>0.1203533521535234</v>
      </c>
      <c r="CQ43" s="6" t="e">
        <f t="shared" si="59"/>
        <v>#DIV/0!</v>
      </c>
      <c r="CR43" s="6"/>
      <c r="CS43" s="6"/>
      <c r="CT43" s="6"/>
      <c r="CU43" s="6"/>
      <c r="CV43" s="6"/>
      <c r="CW43" s="6"/>
      <c r="CX43" s="6"/>
      <c r="CZ43" s="1"/>
      <c r="DA43" s="2" t="s">
        <v>9</v>
      </c>
      <c r="DB43" t="e">
        <f t="shared" ref="DB43:DH43" si="60">DB32/(DB19*8.76)</f>
        <v>#VALUE!</v>
      </c>
      <c r="DC43" t="e">
        <f t="shared" si="60"/>
        <v>#VALUE!</v>
      </c>
      <c r="DD43" s="6" t="e">
        <f t="shared" si="60"/>
        <v>#DIV/0!</v>
      </c>
      <c r="DE43" s="6" t="e">
        <f t="shared" si="60"/>
        <v>#VALUE!</v>
      </c>
      <c r="DF43" s="6" t="e">
        <f t="shared" si="60"/>
        <v>#VALUE!</v>
      </c>
      <c r="DG43" s="6">
        <f t="shared" si="60"/>
        <v>0.10800303170621242</v>
      </c>
      <c r="DH43" s="6">
        <f t="shared" si="60"/>
        <v>0.39735010244672786</v>
      </c>
      <c r="DI43" s="6"/>
      <c r="DJ43" s="6"/>
      <c r="DK43" s="6"/>
      <c r="DL43" s="6"/>
      <c r="DM43" s="6"/>
      <c r="DN43" s="6"/>
      <c r="DO43" s="6"/>
      <c r="DQ43" s="1"/>
      <c r="DR43" s="2" t="s">
        <v>9</v>
      </c>
      <c r="DS43" t="e">
        <f t="shared" ref="DS43:DY43" si="61">DS32/(DS19*8.76)</f>
        <v>#VALUE!</v>
      </c>
      <c r="DT43" t="e">
        <f t="shared" si="61"/>
        <v>#VALUE!</v>
      </c>
      <c r="DU43" s="6" t="e">
        <f t="shared" si="61"/>
        <v>#DIV/0!</v>
      </c>
      <c r="DV43" s="6" t="e">
        <f t="shared" si="61"/>
        <v>#VALUE!</v>
      </c>
      <c r="DW43" s="6" t="e">
        <f t="shared" si="61"/>
        <v>#VALUE!</v>
      </c>
      <c r="DX43" s="6">
        <f t="shared" si="61"/>
        <v>0.1990868991469753</v>
      </c>
      <c r="DY43" s="6" t="e">
        <f t="shared" si="61"/>
        <v>#DIV/0!</v>
      </c>
      <c r="DZ43" s="6"/>
      <c r="EA43" s="6"/>
      <c r="EB43" s="6"/>
      <c r="EC43" s="6"/>
      <c r="ED43" s="6"/>
      <c r="EE43" s="6"/>
      <c r="EF43" s="6"/>
    </row>
    <row r="44" spans="1:136">
      <c r="A44" s="1"/>
      <c r="B44" s="2" t="s">
        <v>11</v>
      </c>
      <c r="C44">
        <f t="shared" ref="C44:I44" si="62">C33/(C20*8.76)</f>
        <v>3.0590365296803656E-2</v>
      </c>
      <c r="D44" t="e">
        <f t="shared" si="62"/>
        <v>#VALUE!</v>
      </c>
      <c r="E44" s="6" t="e">
        <f t="shared" si="62"/>
        <v>#DIV/0!</v>
      </c>
      <c r="F44" s="6" t="e">
        <f t="shared" si="62"/>
        <v>#VALUE!</v>
      </c>
      <c r="G44" s="6" t="e">
        <f t="shared" si="62"/>
        <v>#VALUE!</v>
      </c>
      <c r="H44" s="6">
        <f t="shared" si="62"/>
        <v>0.13362626171593367</v>
      </c>
      <c r="I44" s="6">
        <f t="shared" si="62"/>
        <v>0.446562802130898</v>
      </c>
      <c r="J44" s="6"/>
      <c r="K44" s="6"/>
      <c r="L44" s="6"/>
      <c r="M44" s="6"/>
      <c r="N44" s="6"/>
      <c r="O44" s="6"/>
      <c r="P44" s="6"/>
      <c r="R44" s="1"/>
      <c r="S44" s="2" t="s">
        <v>11</v>
      </c>
      <c r="T44">
        <f t="shared" ref="T44:Z44" si="63">T33/(T20*8.76)</f>
        <v>2.7972682648401827E-2</v>
      </c>
      <c r="U44" t="e">
        <f t="shared" si="63"/>
        <v>#VALUE!</v>
      </c>
      <c r="V44" s="6" t="e">
        <f t="shared" si="63"/>
        <v>#DIV/0!</v>
      </c>
      <c r="W44" s="6" t="e">
        <f t="shared" si="63"/>
        <v>#VALUE!</v>
      </c>
      <c r="X44" s="6" t="e">
        <f t="shared" si="63"/>
        <v>#VALUE!</v>
      </c>
      <c r="Y44" s="6">
        <f t="shared" si="63"/>
        <v>0.13325168809581031</v>
      </c>
      <c r="Z44" s="6">
        <f t="shared" si="63"/>
        <v>0.44668268569254188</v>
      </c>
      <c r="AA44" s="6"/>
      <c r="AB44" s="6"/>
      <c r="AC44" s="6"/>
      <c r="AD44" s="6"/>
      <c r="AE44" s="6"/>
      <c r="AF44" s="6"/>
      <c r="AG44" s="6"/>
      <c r="AI44" s="1"/>
      <c r="AJ44" s="2" t="s">
        <v>11</v>
      </c>
      <c r="AK44">
        <f t="shared" ref="AK44:AQ44" si="64">AK33/(AK20*8.76)</f>
        <v>3.0018458904109591E-2</v>
      </c>
      <c r="AL44" t="e">
        <f t="shared" si="64"/>
        <v>#VALUE!</v>
      </c>
      <c r="AM44" s="6" t="e">
        <f t="shared" si="64"/>
        <v>#DIV/0!</v>
      </c>
      <c r="AN44" s="6" t="e">
        <f t="shared" si="64"/>
        <v>#VALUE!</v>
      </c>
      <c r="AO44" s="6" t="e">
        <f t="shared" si="64"/>
        <v>#VALUE!</v>
      </c>
      <c r="AP44" s="6">
        <f t="shared" si="64"/>
        <v>0.13362859388768725</v>
      </c>
      <c r="AQ44" s="6">
        <f t="shared" si="64"/>
        <v>0.44662216438356167</v>
      </c>
      <c r="AR44" s="6"/>
      <c r="AS44" s="6"/>
      <c r="AT44" s="6"/>
      <c r="AU44" s="6"/>
      <c r="AV44" s="6"/>
      <c r="AW44" s="6"/>
      <c r="AX44" s="6"/>
      <c r="AZ44" s="1"/>
      <c r="BA44" s="2" t="s">
        <v>11</v>
      </c>
      <c r="BB44">
        <f t="shared" ref="BB44:BH44" si="65">BB33/(BB20*8.76)</f>
        <v>2.7873436073059362E-2</v>
      </c>
      <c r="BC44" t="e">
        <f t="shared" si="65"/>
        <v>#VALUE!</v>
      </c>
      <c r="BD44" s="6" t="e">
        <f t="shared" si="65"/>
        <v>#DIV/0!</v>
      </c>
      <c r="BE44" s="6" t="e">
        <f t="shared" si="65"/>
        <v>#VALUE!</v>
      </c>
      <c r="BF44" s="6" t="e">
        <f t="shared" si="65"/>
        <v>#VALUE!</v>
      </c>
      <c r="BG44" s="6">
        <f t="shared" si="65"/>
        <v>0.13325461808058961</v>
      </c>
      <c r="BH44" s="6">
        <f t="shared" si="65"/>
        <v>0.44668809360730599</v>
      </c>
      <c r="BI44" s="6"/>
      <c r="BJ44" s="6"/>
      <c r="BK44" s="6"/>
      <c r="BL44" s="6"/>
      <c r="BM44" s="6"/>
      <c r="BN44" s="6"/>
      <c r="BO44" s="6"/>
      <c r="BQ44" s="1"/>
      <c r="BR44" s="2" t="s">
        <v>11</v>
      </c>
      <c r="BS44">
        <f t="shared" ref="BS44:BY44" si="66">BS33/(BS20*8.76)</f>
        <v>4.6934668949771691E-2</v>
      </c>
      <c r="BT44" t="e">
        <f t="shared" si="66"/>
        <v>#VALUE!</v>
      </c>
      <c r="BU44" s="6" t="e">
        <f t="shared" si="66"/>
        <v>#DIV/0!</v>
      </c>
      <c r="BV44" s="6" t="e">
        <f t="shared" si="66"/>
        <v>#VALUE!</v>
      </c>
      <c r="BW44" s="6" t="e">
        <f t="shared" si="66"/>
        <v>#VALUE!</v>
      </c>
      <c r="BX44" s="6">
        <f t="shared" si="66"/>
        <v>0.19598402291236183</v>
      </c>
      <c r="BY44" s="6">
        <f t="shared" si="66"/>
        <v>0.55595656099477364</v>
      </c>
      <c r="BZ44" s="6"/>
      <c r="CA44" s="6"/>
      <c r="CB44" s="6"/>
      <c r="CC44" s="6"/>
      <c r="CD44" s="6"/>
      <c r="CE44" s="6"/>
      <c r="CF44" s="6"/>
      <c r="CI44" s="1"/>
      <c r="CJ44" s="2" t="s">
        <v>11</v>
      </c>
      <c r="CK44">
        <f t="shared" ref="CK44:CQ44" si="67">CK33/(CK20*8.76)</f>
        <v>2.4488219178082193E-2</v>
      </c>
      <c r="CL44" t="e">
        <f t="shared" si="67"/>
        <v>#VALUE!</v>
      </c>
      <c r="CM44" s="6" t="e">
        <f t="shared" si="67"/>
        <v>#DIV/0!</v>
      </c>
      <c r="CN44" s="6" t="e">
        <f t="shared" si="67"/>
        <v>#VALUE!</v>
      </c>
      <c r="CO44" s="6" t="e">
        <f t="shared" si="67"/>
        <v>#VALUE!</v>
      </c>
      <c r="CP44" s="6">
        <f t="shared" si="67"/>
        <v>0.10740055575582794</v>
      </c>
      <c r="CQ44" s="6">
        <f t="shared" si="67"/>
        <v>0.38125549391171992</v>
      </c>
      <c r="CR44" s="6"/>
      <c r="CS44" s="6"/>
      <c r="CT44" s="6"/>
      <c r="CU44" s="6"/>
      <c r="CV44" s="6"/>
      <c r="CW44" s="6"/>
      <c r="CX44" s="6"/>
      <c r="CZ44" s="1"/>
      <c r="DA44" s="2" t="s">
        <v>11</v>
      </c>
      <c r="DB44">
        <f t="shared" ref="DB44:DH44" si="68">DB33/(DB20*8.76)</f>
        <v>2.6338242009132422E-2</v>
      </c>
      <c r="DC44" t="e">
        <f t="shared" si="68"/>
        <v>#VALUE!</v>
      </c>
      <c r="DD44" s="6" t="e">
        <f t="shared" si="68"/>
        <v>#DIV/0!</v>
      </c>
      <c r="DE44" s="6" t="e">
        <f t="shared" si="68"/>
        <v>#VALUE!</v>
      </c>
      <c r="DF44" s="6" t="e">
        <f t="shared" si="68"/>
        <v>#VALUE!</v>
      </c>
      <c r="DG44" s="6">
        <f t="shared" si="68"/>
        <v>0.11232811463590484</v>
      </c>
      <c r="DH44" s="6">
        <f t="shared" si="68"/>
        <v>0.39925488964992395</v>
      </c>
      <c r="DI44" s="6"/>
      <c r="DJ44" s="6"/>
      <c r="DK44" s="6"/>
      <c r="DL44" s="6"/>
      <c r="DM44" s="6"/>
      <c r="DN44" s="6"/>
      <c r="DO44" s="6"/>
      <c r="DQ44" s="1"/>
      <c r="DR44" s="2" t="s">
        <v>11</v>
      </c>
      <c r="DS44">
        <f t="shared" ref="DS44:DY44" si="69">DS33/(DS20*8.76)</f>
        <v>4.570705479452055E-2</v>
      </c>
      <c r="DT44" t="e">
        <f t="shared" si="69"/>
        <v>#VALUE!</v>
      </c>
      <c r="DU44" s="6" t="e">
        <f t="shared" si="69"/>
        <v>#DIV/0!</v>
      </c>
      <c r="DV44" s="6" t="e">
        <f t="shared" si="69"/>
        <v>#VALUE!</v>
      </c>
      <c r="DW44" s="6" t="e">
        <f t="shared" si="69"/>
        <v>#VALUE!</v>
      </c>
      <c r="DX44" s="6">
        <f t="shared" si="69"/>
        <v>0.19645303163189495</v>
      </c>
      <c r="DY44" s="6">
        <f t="shared" si="69"/>
        <v>0.55747487091969428</v>
      </c>
      <c r="DZ44" s="6"/>
      <c r="EA44" s="6"/>
      <c r="EB44" s="6"/>
      <c r="EC44" s="6"/>
      <c r="ED44" s="6"/>
      <c r="EE44" s="6"/>
      <c r="EF44" s="6"/>
    </row>
    <row r="45" spans="1:136">
      <c r="A45" s="1"/>
      <c r="B45" s="2" t="s">
        <v>12</v>
      </c>
      <c r="C45" t="e">
        <f t="shared" ref="C45:I45" si="70">C34/(C21*8.76)</f>
        <v>#VALUE!</v>
      </c>
      <c r="D45" t="e">
        <f t="shared" si="70"/>
        <v>#VALUE!</v>
      </c>
      <c r="E45" s="6" t="e">
        <f t="shared" si="70"/>
        <v>#DIV/0!</v>
      </c>
      <c r="F45" s="6">
        <f t="shared" si="70"/>
        <v>0.60456240487062396</v>
      </c>
      <c r="G45" s="6">
        <f t="shared" si="70"/>
        <v>5.9517437214611876E-2</v>
      </c>
      <c r="H45" s="6" t="e">
        <f t="shared" si="70"/>
        <v>#DIV/0!</v>
      </c>
      <c r="I45" s="6" t="e">
        <f t="shared" si="70"/>
        <v>#DIV/0!</v>
      </c>
      <c r="J45" s="6"/>
      <c r="K45" s="6"/>
      <c r="L45" s="6"/>
      <c r="M45" s="6"/>
      <c r="N45" s="6"/>
      <c r="O45" s="6"/>
      <c r="P45" s="6"/>
      <c r="R45" s="1"/>
      <c r="S45" s="2" t="s">
        <v>12</v>
      </c>
      <c r="T45" t="e">
        <f t="shared" ref="T45:Z45" si="71">T34/(T21*8.76)</f>
        <v>#VALUE!</v>
      </c>
      <c r="U45" t="e">
        <f t="shared" si="71"/>
        <v>#VALUE!</v>
      </c>
      <c r="V45" s="6" t="e">
        <f t="shared" si="71"/>
        <v>#DIV/0!</v>
      </c>
      <c r="W45" s="6">
        <f t="shared" si="71"/>
        <v>0.60452462709284616</v>
      </c>
      <c r="X45" s="6">
        <f t="shared" si="71"/>
        <v>3.6637999429223744E-2</v>
      </c>
      <c r="Y45" s="6" t="e">
        <f t="shared" si="71"/>
        <v>#DIV/0!</v>
      </c>
      <c r="Z45" s="6">
        <f t="shared" si="71"/>
        <v>0.56642350867353264</v>
      </c>
      <c r="AA45" s="6"/>
      <c r="AB45" s="6"/>
      <c r="AC45" s="6"/>
      <c r="AD45" s="6"/>
      <c r="AE45" s="6"/>
      <c r="AF45" s="6"/>
      <c r="AG45" s="6"/>
      <c r="AI45" s="1"/>
      <c r="AJ45" s="2" t="s">
        <v>12</v>
      </c>
      <c r="AK45" t="e">
        <f t="shared" ref="AK45:AQ45" si="72">AK34/(AK21*8.76)</f>
        <v>#VALUE!</v>
      </c>
      <c r="AL45" t="e">
        <f t="shared" si="72"/>
        <v>#VALUE!</v>
      </c>
      <c r="AM45" s="6" t="e">
        <f t="shared" si="72"/>
        <v>#DIV/0!</v>
      </c>
      <c r="AN45" s="6">
        <f t="shared" si="72"/>
        <v>0.60459665144596653</v>
      </c>
      <c r="AO45" s="6">
        <f t="shared" si="72"/>
        <v>6.2045362442922372E-2</v>
      </c>
      <c r="AP45" s="6" t="e">
        <f t="shared" si="72"/>
        <v>#DIV/0!</v>
      </c>
      <c r="AQ45" s="6" t="e">
        <f t="shared" si="72"/>
        <v>#DIV/0!</v>
      </c>
      <c r="AR45" s="6"/>
      <c r="AS45" s="6"/>
      <c r="AT45" s="6"/>
      <c r="AU45" s="6"/>
      <c r="AV45" s="6"/>
      <c r="AW45" s="6"/>
      <c r="AX45" s="6"/>
      <c r="AZ45" s="1"/>
      <c r="BA45" s="2" t="s">
        <v>12</v>
      </c>
      <c r="BB45" t="e">
        <f t="shared" ref="BB45:BH45" si="73">BB34/(BB21*8.76)</f>
        <v>#VALUE!</v>
      </c>
      <c r="BC45" t="e">
        <f t="shared" si="73"/>
        <v>#VALUE!</v>
      </c>
      <c r="BD45" s="6" t="e">
        <f t="shared" si="73"/>
        <v>#DIV/0!</v>
      </c>
      <c r="BE45" s="6">
        <f t="shared" si="73"/>
        <v>0.60454112633181123</v>
      </c>
      <c r="BF45" s="6">
        <f t="shared" si="73"/>
        <v>4.8894149543378999E-2</v>
      </c>
      <c r="BG45" s="6" t="e">
        <f t="shared" si="73"/>
        <v>#DIV/0!</v>
      </c>
      <c r="BH45" s="6">
        <f t="shared" si="73"/>
        <v>0.56626590735157745</v>
      </c>
      <c r="BI45" s="6"/>
      <c r="BJ45" s="6"/>
      <c r="BK45" s="6"/>
      <c r="BL45" s="6"/>
      <c r="BM45" s="6"/>
      <c r="BN45" s="6"/>
      <c r="BO45" s="6"/>
      <c r="BQ45" s="1"/>
      <c r="BR45" s="2" t="s">
        <v>12</v>
      </c>
      <c r="BS45" t="e">
        <f t="shared" ref="BS45:BY45" si="74">BS34/(BS21*8.76)</f>
        <v>#VALUE!</v>
      </c>
      <c r="BT45" t="e">
        <f t="shared" si="74"/>
        <v>#VALUE!</v>
      </c>
      <c r="BU45" s="6" t="e">
        <f t="shared" si="74"/>
        <v>#DIV/0!</v>
      </c>
      <c r="BV45" s="6">
        <f t="shared" si="74"/>
        <v>0.65001840943683409</v>
      </c>
      <c r="BW45" s="6">
        <f t="shared" si="74"/>
        <v>0.90282863869863017</v>
      </c>
      <c r="BX45" s="6" t="e">
        <f t="shared" si="74"/>
        <v>#DIV/0!</v>
      </c>
      <c r="BY45" s="6" t="e">
        <f t="shared" si="74"/>
        <v>#DIV/0!</v>
      </c>
      <c r="BZ45" s="6"/>
      <c r="CA45" s="6"/>
      <c r="CB45" s="6"/>
      <c r="CC45" s="6"/>
      <c r="CD45" s="6"/>
      <c r="CE45" s="6"/>
      <c r="CF45" s="6"/>
      <c r="CI45" s="1"/>
      <c r="CJ45" s="2" t="s">
        <v>12</v>
      </c>
      <c r="CK45" t="e">
        <f t="shared" ref="CK45:CQ45" si="75">CK34/(CK21*8.76)</f>
        <v>#VALUE!</v>
      </c>
      <c r="CL45" t="e">
        <f t="shared" si="75"/>
        <v>#VALUE!</v>
      </c>
      <c r="CM45" s="6" t="e">
        <f t="shared" si="75"/>
        <v>#DIV/0!</v>
      </c>
      <c r="CN45" s="6">
        <f t="shared" si="75"/>
        <v>0.60525416286149158</v>
      </c>
      <c r="CO45" s="6">
        <f t="shared" si="75"/>
        <v>9.5500271118721461E-2</v>
      </c>
      <c r="CP45" s="6" t="e">
        <f t="shared" si="75"/>
        <v>#DIV/0!</v>
      </c>
      <c r="CQ45" s="6">
        <f t="shared" si="75"/>
        <v>0.43461879474703247</v>
      </c>
      <c r="CR45" s="6"/>
      <c r="CS45" s="6"/>
      <c r="CT45" s="6"/>
      <c r="CU45" s="6"/>
      <c r="CV45" s="6"/>
      <c r="CW45" s="6"/>
      <c r="CX45" s="6"/>
      <c r="CZ45" s="1"/>
      <c r="DA45" s="2" t="s">
        <v>12</v>
      </c>
      <c r="DB45" t="e">
        <f t="shared" ref="DB45:DH45" si="76">DB34/(DB21*8.76)</f>
        <v>#VALUE!</v>
      </c>
      <c r="DC45" t="e">
        <f t="shared" si="76"/>
        <v>#VALUE!</v>
      </c>
      <c r="DD45" s="6" t="e">
        <f t="shared" si="76"/>
        <v>#DIV/0!</v>
      </c>
      <c r="DE45" s="6">
        <f t="shared" si="76"/>
        <v>0.60641910958904099</v>
      </c>
      <c r="DF45" s="6">
        <f t="shared" si="76"/>
        <v>0.10409698915525115</v>
      </c>
      <c r="DG45" s="6" t="e">
        <f t="shared" si="76"/>
        <v>#DIV/0!</v>
      </c>
      <c r="DH45" s="6" t="e">
        <f t="shared" si="76"/>
        <v>#DIV/0!</v>
      </c>
      <c r="DI45" s="6"/>
      <c r="DJ45" s="6"/>
      <c r="DK45" s="6"/>
      <c r="DL45" s="6"/>
      <c r="DM45" s="6"/>
      <c r="DN45" s="6"/>
      <c r="DO45" s="6"/>
      <c r="DQ45" s="1"/>
      <c r="DR45" s="2" t="s">
        <v>12</v>
      </c>
      <c r="DS45" t="e">
        <f t="shared" ref="DS45:DY45" si="77">DS34/(DS21*8.76)</f>
        <v>#VALUE!</v>
      </c>
      <c r="DT45" t="e">
        <f t="shared" si="77"/>
        <v>#VALUE!</v>
      </c>
      <c r="DU45" s="6" t="e">
        <f t="shared" si="77"/>
        <v>#DIV/0!</v>
      </c>
      <c r="DV45" s="6">
        <f t="shared" si="77"/>
        <v>0.64573998477929984</v>
      </c>
      <c r="DW45" s="6">
        <f t="shared" si="77"/>
        <v>0.89386849315068495</v>
      </c>
      <c r="DX45" s="6" t="e">
        <f t="shared" si="77"/>
        <v>#DIV/0!</v>
      </c>
      <c r="DY45" s="6" t="e">
        <f t="shared" si="77"/>
        <v>#DIV/0!</v>
      </c>
      <c r="DZ45" s="6"/>
      <c r="EA45" s="6"/>
      <c r="EB45" s="6"/>
      <c r="EC45" s="6"/>
      <c r="ED45" s="6"/>
      <c r="EE45" s="6"/>
      <c r="EF45" s="6"/>
    </row>
    <row r="46" spans="1:136">
      <c r="A46" s="1"/>
      <c r="B46" s="2" t="s">
        <v>13</v>
      </c>
      <c r="C46" s="6">
        <f t="shared" ref="C46:I46" si="78">C35/(C22*8.76)</f>
        <v>1.6383972602739726E-2</v>
      </c>
      <c r="D46" t="e">
        <f t="shared" si="78"/>
        <v>#DIV/0!</v>
      </c>
      <c r="E46" s="6" t="e">
        <f t="shared" si="78"/>
        <v>#DIV/0!</v>
      </c>
      <c r="F46" s="6">
        <f t="shared" si="78"/>
        <v>0.6065213116438356</v>
      </c>
      <c r="G46" s="6">
        <f t="shared" si="78"/>
        <v>4.9055692541856925E-2</v>
      </c>
      <c r="H46" s="6">
        <f t="shared" si="78"/>
        <v>0.10300119990949314</v>
      </c>
      <c r="I46" s="6">
        <f t="shared" si="78"/>
        <v>0.42024792315929349</v>
      </c>
      <c r="J46" s="6"/>
      <c r="K46" s="6"/>
      <c r="L46" s="6"/>
      <c r="M46" s="6"/>
      <c r="N46" s="6"/>
      <c r="O46" s="6"/>
      <c r="P46" s="6"/>
      <c r="R46" s="1"/>
      <c r="S46" s="2" t="s">
        <v>13</v>
      </c>
      <c r="T46" s="6">
        <f t="shared" ref="T46:Z46" si="79">T35/(T22*8.76)</f>
        <v>1.5347511415525114E-2</v>
      </c>
      <c r="U46" t="e">
        <f t="shared" si="79"/>
        <v>#DIV/0!</v>
      </c>
      <c r="V46" s="6" t="e">
        <f t="shared" si="79"/>
        <v>#DIV/0!</v>
      </c>
      <c r="W46" s="6">
        <f t="shared" si="79"/>
        <v>0.60609666324200917</v>
      </c>
      <c r="X46" s="6">
        <f t="shared" si="79"/>
        <v>3.9606027397260275E-2</v>
      </c>
      <c r="Y46" s="6">
        <f t="shared" si="79"/>
        <v>9.5294299381978254E-2</v>
      </c>
      <c r="Z46" s="6">
        <f t="shared" si="79"/>
        <v>0.3989801314371923</v>
      </c>
      <c r="AA46" s="6"/>
      <c r="AB46" s="6"/>
      <c r="AC46" s="6"/>
      <c r="AD46" s="6"/>
      <c r="AE46" s="6"/>
      <c r="AF46" s="6"/>
      <c r="AG46" s="6"/>
      <c r="AI46" s="1"/>
      <c r="AJ46" s="2" t="s">
        <v>13</v>
      </c>
      <c r="AK46" s="6">
        <f t="shared" ref="AK46:AQ46" si="80">AK35/(AK22*8.76)</f>
        <v>1.6484566210045664E-2</v>
      </c>
      <c r="AL46" t="e">
        <f t="shared" si="80"/>
        <v>#DIV/0!</v>
      </c>
      <c r="AM46" s="6" t="e">
        <f t="shared" si="80"/>
        <v>#DIV/0!</v>
      </c>
      <c r="AN46" s="6">
        <f t="shared" si="80"/>
        <v>0.60713843493150677</v>
      </c>
      <c r="AO46" s="6">
        <f t="shared" si="80"/>
        <v>5.3258485540334854E-2</v>
      </c>
      <c r="AP46" s="6">
        <f t="shared" si="80"/>
        <v>0.10720901337780496</v>
      </c>
      <c r="AQ46" s="6">
        <f t="shared" si="80"/>
        <v>0.4244762331880983</v>
      </c>
      <c r="AR46" s="6"/>
      <c r="AS46" s="6"/>
      <c r="AT46" s="6"/>
      <c r="AU46" s="6"/>
      <c r="AV46" s="6"/>
      <c r="AW46" s="6"/>
      <c r="AX46" s="6"/>
      <c r="AZ46" s="1"/>
      <c r="BA46" s="2" t="s">
        <v>13</v>
      </c>
      <c r="BB46" s="6">
        <f t="shared" ref="BB46:BH46" si="81">BB35/(BB22*8.76)</f>
        <v>1.5453515981735161E-2</v>
      </c>
      <c r="BC46" t="e">
        <f t="shared" si="81"/>
        <v>#DIV/0!</v>
      </c>
      <c r="BD46" s="6" t="e">
        <f t="shared" si="81"/>
        <v>#DIV/0!</v>
      </c>
      <c r="BE46" s="6">
        <f t="shared" si="81"/>
        <v>0.60633250570776265</v>
      </c>
      <c r="BF46" s="6">
        <f t="shared" si="81"/>
        <v>4.6559406392694062E-2</v>
      </c>
      <c r="BG46" s="6">
        <f t="shared" si="81"/>
        <v>0.10032727274760442</v>
      </c>
      <c r="BH46" s="6">
        <f t="shared" si="81"/>
        <v>0.41226189689778359</v>
      </c>
      <c r="BI46" s="6"/>
      <c r="BJ46" s="6"/>
      <c r="BK46" s="6"/>
      <c r="BL46" s="6"/>
      <c r="BM46" s="6"/>
      <c r="BN46" s="6"/>
      <c r="BO46" s="6"/>
      <c r="BQ46" s="1"/>
      <c r="BR46" s="2" t="s">
        <v>13</v>
      </c>
      <c r="BS46" s="6">
        <f t="shared" ref="BS46:BY46" si="82">BS35/(BS22*8.76)</f>
        <v>3.003383561643836E-2</v>
      </c>
      <c r="BT46" t="e">
        <f t="shared" si="82"/>
        <v>#DIV/0!</v>
      </c>
      <c r="BU46" s="6" t="e">
        <f t="shared" si="82"/>
        <v>#DIV/0!</v>
      </c>
      <c r="BV46" s="6">
        <f t="shared" si="82"/>
        <v>0.70468195605022832</v>
      </c>
      <c r="BW46" s="6">
        <f t="shared" si="82"/>
        <v>0.89836473363774727</v>
      </c>
      <c r="BX46" s="6">
        <f t="shared" si="82"/>
        <v>0.20187435855967328</v>
      </c>
      <c r="BY46" s="6">
        <f t="shared" si="82"/>
        <v>0.51859866939399579</v>
      </c>
      <c r="BZ46" s="6"/>
      <c r="CA46" s="6"/>
      <c r="CB46" s="6"/>
      <c r="CC46" s="6"/>
      <c r="CD46" s="6"/>
      <c r="CE46" s="6"/>
      <c r="CF46" s="6"/>
      <c r="CI46" s="1"/>
      <c r="CJ46" s="2" t="s">
        <v>13</v>
      </c>
      <c r="CK46" s="6">
        <f t="shared" ref="CK46:CQ46" si="83">CK35/(CK22*8.76)</f>
        <v>1.6438356164383564E-2</v>
      </c>
      <c r="CL46" t="e">
        <f t="shared" si="83"/>
        <v>#DIV/0!</v>
      </c>
      <c r="CM46" s="6" t="e">
        <f t="shared" si="83"/>
        <v>#DIV/0!</v>
      </c>
      <c r="CN46" s="6">
        <f t="shared" si="83"/>
        <v>0.60686915987575252</v>
      </c>
      <c r="CO46" s="6">
        <f t="shared" si="83"/>
        <v>0.10600896499238964</v>
      </c>
      <c r="CP46" s="6">
        <f t="shared" si="83"/>
        <v>0.13087477245209986</v>
      </c>
      <c r="CQ46" s="6">
        <f t="shared" si="83"/>
        <v>0.42970550211188979</v>
      </c>
      <c r="CR46" s="6"/>
      <c r="CS46" s="6"/>
      <c r="CT46" s="6"/>
      <c r="CU46" s="6"/>
      <c r="CV46" s="6"/>
      <c r="CW46" s="6"/>
      <c r="CX46" s="6"/>
      <c r="CZ46" s="1"/>
      <c r="DA46" s="2" t="s">
        <v>13</v>
      </c>
      <c r="DB46" s="6">
        <f t="shared" ref="DB46:DH46" si="84">DB35/(DB22*8.76)</f>
        <v>1.4727283105022833E-2</v>
      </c>
      <c r="DC46" t="e">
        <f t="shared" si="84"/>
        <v>#DIV/0!</v>
      </c>
      <c r="DD46" s="6" t="e">
        <f t="shared" si="84"/>
        <v>#DIV/0!</v>
      </c>
      <c r="DE46" s="6">
        <f t="shared" si="84"/>
        <v>0.60703603805023554</v>
      </c>
      <c r="DF46" s="6">
        <f t="shared" si="84"/>
        <v>9.9249025875190244E-2</v>
      </c>
      <c r="DG46" s="6">
        <f t="shared" si="84"/>
        <v>0.13419027553785501</v>
      </c>
      <c r="DH46" s="6">
        <f t="shared" si="84"/>
        <v>0.43727169172779495</v>
      </c>
      <c r="DI46" s="6"/>
      <c r="DJ46" s="6"/>
      <c r="DK46" s="6"/>
      <c r="DL46" s="6"/>
      <c r="DM46" s="6"/>
      <c r="DN46" s="6"/>
      <c r="DO46" s="6"/>
      <c r="DQ46" s="1"/>
      <c r="DR46" s="2" t="s">
        <v>13</v>
      </c>
      <c r="DS46" s="6">
        <f t="shared" ref="DS46:DY46" si="85">DS35/(DS22*8.76)</f>
        <v>2.9046004566210051E-2</v>
      </c>
      <c r="DT46" t="e">
        <f t="shared" si="85"/>
        <v>#DIV/0!</v>
      </c>
      <c r="DU46" s="6" t="e">
        <f t="shared" si="85"/>
        <v>#DIV/0!</v>
      </c>
      <c r="DV46" s="6">
        <f t="shared" si="85"/>
        <v>0.70960323230593603</v>
      </c>
      <c r="DW46" s="6">
        <f t="shared" si="85"/>
        <v>0.89558245814307458</v>
      </c>
      <c r="DX46" s="6">
        <f t="shared" si="85"/>
        <v>0.20193315924076649</v>
      </c>
      <c r="DY46" s="6">
        <f t="shared" si="85"/>
        <v>0.51879423128577029</v>
      </c>
      <c r="DZ46" s="6"/>
      <c r="EA46" s="6"/>
      <c r="EB46" s="6"/>
      <c r="EC46" s="6"/>
      <c r="ED46" s="6"/>
      <c r="EE46" s="6"/>
      <c r="EF46" s="6"/>
    </row>
    <row r="47" spans="1:136">
      <c r="A47" s="1"/>
      <c r="B47" s="2" t="s">
        <v>14</v>
      </c>
      <c r="C47" s="6" t="e">
        <f t="shared" ref="C47:I47" si="86">C36/(C23*8.76)</f>
        <v>#VALUE!</v>
      </c>
      <c r="D47" t="e">
        <f t="shared" si="86"/>
        <v>#VALUE!</v>
      </c>
      <c r="E47" s="6" t="e">
        <f t="shared" si="86"/>
        <v>#DIV/0!</v>
      </c>
      <c r="F47" s="6" t="e">
        <f t="shared" si="86"/>
        <v>#DIV/0!</v>
      </c>
      <c r="G47" s="6" t="e">
        <f t="shared" si="86"/>
        <v>#DIV/0!</v>
      </c>
      <c r="H47" s="6">
        <f t="shared" si="86"/>
        <v>0.1019036540552881</v>
      </c>
      <c r="I47" s="6">
        <f t="shared" si="86"/>
        <v>0.20256936263318112</v>
      </c>
      <c r="J47" s="6"/>
      <c r="K47" s="6"/>
      <c r="L47" s="6"/>
      <c r="M47" s="6"/>
      <c r="N47" s="6"/>
      <c r="O47" s="6"/>
      <c r="P47" s="6"/>
      <c r="R47" s="1"/>
      <c r="S47" s="2" t="s">
        <v>14</v>
      </c>
      <c r="T47" s="6" t="e">
        <f t="shared" ref="T47:Z47" si="87">T36/(T23*8.76)</f>
        <v>#VALUE!</v>
      </c>
      <c r="U47" t="e">
        <f t="shared" si="87"/>
        <v>#VALUE!</v>
      </c>
      <c r="V47" s="6" t="e">
        <f t="shared" si="87"/>
        <v>#DIV/0!</v>
      </c>
      <c r="W47" s="6">
        <f t="shared" si="87"/>
        <v>0.61088761820674187</v>
      </c>
      <c r="X47" s="6" t="e">
        <f t="shared" si="87"/>
        <v>#DIV/0!</v>
      </c>
      <c r="Y47" s="6">
        <f t="shared" si="87"/>
        <v>9.4475004287736919E-2</v>
      </c>
      <c r="Z47" s="6">
        <f t="shared" si="87"/>
        <v>0.19433800799086759</v>
      </c>
      <c r="AA47" s="6"/>
      <c r="AB47" s="6"/>
      <c r="AC47" s="6"/>
      <c r="AD47" s="6"/>
      <c r="AE47" s="6"/>
      <c r="AF47" s="6"/>
      <c r="AG47" s="6"/>
      <c r="AI47" s="1"/>
      <c r="AJ47" s="2" t="s">
        <v>14</v>
      </c>
      <c r="AK47" s="6" t="e">
        <f t="shared" ref="AK47:AQ47" si="88">AK36/(AK23*8.76)</f>
        <v>#VALUE!</v>
      </c>
      <c r="AL47" t="e">
        <f t="shared" si="88"/>
        <v>#VALUE!</v>
      </c>
      <c r="AM47" s="6" t="e">
        <f t="shared" si="88"/>
        <v>#DIV/0!</v>
      </c>
      <c r="AN47" s="6" t="e">
        <f t="shared" si="88"/>
        <v>#DIV/0!</v>
      </c>
      <c r="AO47" s="6" t="e">
        <f t="shared" si="88"/>
        <v>#DIV/0!</v>
      </c>
      <c r="AP47" s="6">
        <f t="shared" si="88"/>
        <v>0.10140275791286819</v>
      </c>
      <c r="AQ47" s="6">
        <f t="shared" si="88"/>
        <v>0.20149590753424657</v>
      </c>
      <c r="AR47" s="6"/>
      <c r="AS47" s="6"/>
      <c r="AT47" s="6"/>
      <c r="AU47" s="6"/>
      <c r="AV47" s="6"/>
      <c r="AW47" s="6"/>
      <c r="AX47" s="6"/>
      <c r="AZ47" s="1"/>
      <c r="BA47" s="2" t="s">
        <v>14</v>
      </c>
      <c r="BB47" s="6" t="e">
        <f t="shared" ref="BB47:BH47" si="89">BB36/(BB23*8.76)</f>
        <v>#VALUE!</v>
      </c>
      <c r="BC47" t="e">
        <f t="shared" si="89"/>
        <v>#VALUE!</v>
      </c>
      <c r="BD47" s="6" t="e">
        <f t="shared" si="89"/>
        <v>#DIV/0!</v>
      </c>
      <c r="BE47" s="6">
        <f t="shared" si="89"/>
        <v>0.61099049355521995</v>
      </c>
      <c r="BF47" s="6" t="e">
        <f t="shared" si="89"/>
        <v>#DIV/0!</v>
      </c>
      <c r="BG47" s="6">
        <f t="shared" si="89"/>
        <v>9.4472310571423815E-2</v>
      </c>
      <c r="BH47" s="6">
        <f t="shared" si="89"/>
        <v>0.19430661815068492</v>
      </c>
      <c r="BI47" s="6"/>
      <c r="BJ47" s="6"/>
      <c r="BK47" s="6"/>
      <c r="BL47" s="6"/>
      <c r="BM47" s="6"/>
      <c r="BN47" s="6"/>
      <c r="BO47" s="6"/>
      <c r="BQ47" s="1"/>
      <c r="BR47" s="2" t="s">
        <v>14</v>
      </c>
      <c r="BS47" s="6" t="e">
        <f t="shared" ref="BS47:BY47" si="90">BS36/(BS23*8.76)</f>
        <v>#VALUE!</v>
      </c>
      <c r="BT47" t="e">
        <f t="shared" si="90"/>
        <v>#VALUE!</v>
      </c>
      <c r="BU47" s="6" t="e">
        <f t="shared" si="90"/>
        <v>#DIV/0!</v>
      </c>
      <c r="BV47" s="6">
        <f t="shared" si="90"/>
        <v>0.68588391267123294</v>
      </c>
      <c r="BW47" s="6" t="e">
        <f t="shared" si="90"/>
        <v>#DIV/0!</v>
      </c>
      <c r="BX47" s="6">
        <f t="shared" si="90"/>
        <v>0.19206170977627449</v>
      </c>
      <c r="BY47" s="6">
        <f t="shared" si="90"/>
        <v>0.5426075387482866</v>
      </c>
      <c r="BZ47" s="6"/>
      <c r="CA47" s="6"/>
      <c r="CB47" s="6"/>
      <c r="CC47" s="6"/>
      <c r="CD47" s="6"/>
      <c r="CE47" s="6"/>
      <c r="CF47" s="6"/>
      <c r="CI47" s="1"/>
      <c r="CJ47" s="2" t="s">
        <v>14</v>
      </c>
      <c r="CK47" s="6" t="e">
        <f t="shared" ref="CK47:CQ47" si="91">CK36/(CK23*8.76)</f>
        <v>#VALUE!</v>
      </c>
      <c r="CL47" t="e">
        <f t="shared" si="91"/>
        <v>#VALUE!</v>
      </c>
      <c r="CM47" s="6" t="e">
        <f t="shared" si="91"/>
        <v>#DIV/0!</v>
      </c>
      <c r="CN47" s="6" t="e">
        <f t="shared" si="91"/>
        <v>#DIV/0!</v>
      </c>
      <c r="CO47" s="6" t="e">
        <f t="shared" si="91"/>
        <v>#DIV/0!</v>
      </c>
      <c r="CP47" s="6">
        <f t="shared" si="91"/>
        <v>0.1074472332821132</v>
      </c>
      <c r="CQ47" s="6">
        <f t="shared" si="91"/>
        <v>0.28445701864535766</v>
      </c>
      <c r="CR47" s="6"/>
      <c r="CS47" s="6"/>
      <c r="CT47" s="6"/>
      <c r="CU47" s="6"/>
      <c r="CV47" s="6"/>
      <c r="CW47" s="6"/>
      <c r="CX47" s="6"/>
      <c r="CZ47" s="1"/>
      <c r="DA47" s="2" t="s">
        <v>14</v>
      </c>
      <c r="DB47" s="6" t="e">
        <f t="shared" ref="DB47:DH47" si="92">DB36/(DB23*8.76)</f>
        <v>#VALUE!</v>
      </c>
      <c r="DC47" t="e">
        <f t="shared" si="92"/>
        <v>#VALUE!</v>
      </c>
      <c r="DD47" s="6" t="e">
        <f t="shared" si="92"/>
        <v>#DIV/0!</v>
      </c>
      <c r="DE47" s="6" t="e">
        <f t="shared" si="92"/>
        <v>#DIV/0!</v>
      </c>
      <c r="DF47" s="6" t="e">
        <f t="shared" si="92"/>
        <v>#DIV/0!</v>
      </c>
      <c r="DG47" s="6">
        <f t="shared" si="92"/>
        <v>0.10607694262356965</v>
      </c>
      <c r="DH47" s="6">
        <f t="shared" si="92"/>
        <v>0.28089497621765597</v>
      </c>
      <c r="DI47" s="6"/>
      <c r="DJ47" s="6"/>
      <c r="DK47" s="6"/>
      <c r="DL47" s="6"/>
      <c r="DM47" s="6"/>
      <c r="DN47" s="6"/>
      <c r="DO47" s="6"/>
      <c r="DQ47" s="1"/>
      <c r="DR47" s="2" t="s">
        <v>14</v>
      </c>
      <c r="DS47" s="6" t="e">
        <f t="shared" ref="DS47:DY47" si="93">DS36/(DS23*8.76)</f>
        <v>#VALUE!</v>
      </c>
      <c r="DT47" t="e">
        <f t="shared" si="93"/>
        <v>#VALUE!</v>
      </c>
      <c r="DU47" s="6" t="e">
        <f t="shared" si="93"/>
        <v>#DIV/0!</v>
      </c>
      <c r="DV47" s="6">
        <f t="shared" si="93"/>
        <v>0.6870834275114156</v>
      </c>
      <c r="DW47" s="6" t="e">
        <f t="shared" si="93"/>
        <v>#DIV/0!</v>
      </c>
      <c r="DX47" s="6">
        <f t="shared" si="93"/>
        <v>0.19368484311294948</v>
      </c>
      <c r="DY47" s="6">
        <f t="shared" si="93"/>
        <v>0.54550059676849871</v>
      </c>
      <c r="DZ47" s="6"/>
      <c r="EA47" s="6"/>
      <c r="EB47" s="6"/>
      <c r="EC47" s="6"/>
      <c r="ED47" s="6"/>
      <c r="EE47" s="6"/>
      <c r="EF47" s="6"/>
    </row>
    <row r="48" spans="1:136">
      <c r="A48" s="1"/>
      <c r="B48" s="2" t="s">
        <v>15</v>
      </c>
      <c r="C48" s="6" t="e">
        <f t="shared" ref="C48:I48" si="94">C37/(C24*8.76)</f>
        <v>#VALUE!</v>
      </c>
      <c r="D48" t="e">
        <f t="shared" si="94"/>
        <v>#VALUE!</v>
      </c>
      <c r="E48" s="6" t="e">
        <f t="shared" si="94"/>
        <v>#DIV/0!</v>
      </c>
      <c r="F48" s="6">
        <f t="shared" si="94"/>
        <v>0.61442308717312244</v>
      </c>
      <c r="G48" s="6" t="e">
        <f t="shared" si="94"/>
        <v>#VALUE!</v>
      </c>
      <c r="H48" s="6">
        <f t="shared" si="94"/>
        <v>6.8916818672395491E-2</v>
      </c>
      <c r="I48" s="6">
        <f t="shared" si="94"/>
        <v>0.18320170833333335</v>
      </c>
      <c r="J48" s="6"/>
      <c r="K48" s="6"/>
      <c r="L48" s="6"/>
      <c r="M48" s="6"/>
      <c r="N48" s="6"/>
      <c r="O48" s="6"/>
      <c r="P48" s="6"/>
      <c r="R48" s="1"/>
      <c r="S48" s="2" t="s">
        <v>15</v>
      </c>
      <c r="T48" s="6" t="e">
        <f t="shared" ref="T48:Z48" si="95">T37/(T24*8.76)</f>
        <v>#VALUE!</v>
      </c>
      <c r="U48" t="e">
        <f t="shared" si="95"/>
        <v>#VALUE!</v>
      </c>
      <c r="V48" s="6" t="e">
        <f t="shared" si="95"/>
        <v>#DIV/0!</v>
      </c>
      <c r="W48" s="6">
        <f t="shared" si="95"/>
        <v>0.61149377536428895</v>
      </c>
      <c r="X48" s="6" t="e">
        <f t="shared" si="95"/>
        <v>#VALUE!</v>
      </c>
      <c r="Y48" s="6">
        <f t="shared" si="95"/>
        <v>7.4615698883607126E-2</v>
      </c>
      <c r="Z48" s="6">
        <f t="shared" si="95"/>
        <v>0.1465472163242009</v>
      </c>
      <c r="AA48" s="6"/>
      <c r="AB48" s="6"/>
      <c r="AC48" s="6"/>
      <c r="AD48" s="6"/>
      <c r="AE48" s="6"/>
      <c r="AF48" s="6"/>
      <c r="AG48" s="6"/>
      <c r="AI48" s="1"/>
      <c r="AJ48" s="2" t="s">
        <v>15</v>
      </c>
      <c r="AK48" s="6" t="e">
        <f t="shared" ref="AK48:AQ48" si="96">AK37/(AK24*8.76)</f>
        <v>#VALUE!</v>
      </c>
      <c r="AL48" t="e">
        <f t="shared" si="96"/>
        <v>#VALUE!</v>
      </c>
      <c r="AM48" s="6" t="e">
        <f t="shared" si="96"/>
        <v>#DIV/0!</v>
      </c>
      <c r="AN48" s="6">
        <f t="shared" si="96"/>
        <v>0.61428391282572137</v>
      </c>
      <c r="AO48" s="6" t="e">
        <f t="shared" si="96"/>
        <v>#VALUE!</v>
      </c>
      <c r="AP48" s="6">
        <f t="shared" si="96"/>
        <v>6.9033538253254631E-2</v>
      </c>
      <c r="AQ48" s="6">
        <f t="shared" si="96"/>
        <v>0.18251745034246575</v>
      </c>
      <c r="AR48" s="6"/>
      <c r="AS48" s="6"/>
      <c r="AT48" s="6"/>
      <c r="AU48" s="6"/>
      <c r="AV48" s="6"/>
      <c r="AW48" s="6"/>
      <c r="AX48" s="6"/>
      <c r="AZ48" s="1"/>
      <c r="BA48" s="2" t="s">
        <v>15</v>
      </c>
      <c r="BB48" s="6" t="e">
        <f t="shared" ref="BB48:BH48" si="97">BB37/(BB24*8.76)</f>
        <v>#VALUE!</v>
      </c>
      <c r="BC48" t="e">
        <f t="shared" si="97"/>
        <v>#VALUE!</v>
      </c>
      <c r="BD48" s="6" t="e">
        <f t="shared" si="97"/>
        <v>#DIV/0!</v>
      </c>
      <c r="BE48" s="6">
        <f t="shared" si="97"/>
        <v>0.61148029481334887</v>
      </c>
      <c r="BF48" s="6" t="e">
        <f t="shared" si="97"/>
        <v>#VALUE!</v>
      </c>
      <c r="BG48" s="6">
        <f t="shared" si="97"/>
        <v>7.4516347063345922E-2</v>
      </c>
      <c r="BH48" s="6">
        <f t="shared" si="97"/>
        <v>0.14706965011415524</v>
      </c>
      <c r="BI48" s="6"/>
      <c r="BJ48" s="6"/>
      <c r="BK48" s="6"/>
      <c r="BL48" s="6"/>
      <c r="BM48" s="6"/>
      <c r="BN48" s="6"/>
      <c r="BO48" s="6"/>
      <c r="BQ48" s="1"/>
      <c r="BR48" s="2" t="s">
        <v>15</v>
      </c>
      <c r="BS48" s="6" t="e">
        <f t="shared" ref="BS48:BY48" si="98">BS37/(BS24*8.76)</f>
        <v>#VALUE!</v>
      </c>
      <c r="BT48" t="e">
        <f t="shared" si="98"/>
        <v>#VALUE!</v>
      </c>
      <c r="BU48" s="6" t="e">
        <f t="shared" si="98"/>
        <v>#DIV/0!</v>
      </c>
      <c r="BV48" s="6">
        <f t="shared" si="98"/>
        <v>0.72265857686453572</v>
      </c>
      <c r="BW48" s="6" t="e">
        <f t="shared" si="98"/>
        <v>#VALUE!</v>
      </c>
      <c r="BX48" s="6">
        <f t="shared" si="98"/>
        <v>0.20097545662100455</v>
      </c>
      <c r="BY48" s="6" t="e">
        <f t="shared" si="98"/>
        <v>#DIV/0!</v>
      </c>
      <c r="BZ48" s="6"/>
      <c r="CA48" s="6"/>
      <c r="CB48" s="6"/>
      <c r="CC48" s="6"/>
      <c r="CD48" s="6"/>
      <c r="CE48" s="6"/>
      <c r="CF48" s="6"/>
      <c r="CI48" s="1"/>
      <c r="CJ48" s="2" t="s">
        <v>15</v>
      </c>
      <c r="CK48" s="6" t="e">
        <f t="shared" ref="CK48:CQ48" si="99">CK37/(CK24*8.76)</f>
        <v>#VALUE!</v>
      </c>
      <c r="CL48" t="e">
        <f t="shared" si="99"/>
        <v>#VALUE!</v>
      </c>
      <c r="CM48" s="6" t="e">
        <f t="shared" si="99"/>
        <v>#DIV/0!</v>
      </c>
      <c r="CN48" s="6" t="e">
        <f t="shared" si="99"/>
        <v>#DIV/0!</v>
      </c>
      <c r="CO48" s="6" t="e">
        <f t="shared" si="99"/>
        <v>#VALUE!</v>
      </c>
      <c r="CP48" s="6">
        <f t="shared" si="99"/>
        <v>0.12672121244102288</v>
      </c>
      <c r="CQ48" s="6">
        <f t="shared" si="99"/>
        <v>0.38390258675799088</v>
      </c>
      <c r="CR48" s="6"/>
      <c r="CS48" s="6"/>
      <c r="CT48" s="6"/>
      <c r="CU48" s="6"/>
      <c r="CV48" s="6"/>
      <c r="CW48" s="6"/>
      <c r="CX48" s="6"/>
      <c r="CZ48" s="1"/>
      <c r="DA48" s="2" t="s">
        <v>15</v>
      </c>
      <c r="DB48" s="6" t="e">
        <f t="shared" ref="DB48:DH48" si="100">DB37/(DB24*8.76)</f>
        <v>#VALUE!</v>
      </c>
      <c r="DC48" t="e">
        <f t="shared" si="100"/>
        <v>#VALUE!</v>
      </c>
      <c r="DD48" s="6" t="e">
        <f t="shared" si="100"/>
        <v>#DIV/0!</v>
      </c>
      <c r="DE48" s="6" t="e">
        <f t="shared" si="100"/>
        <v>#DIV/0!</v>
      </c>
      <c r="DF48" s="6" t="e">
        <f t="shared" si="100"/>
        <v>#VALUE!</v>
      </c>
      <c r="DG48" s="6">
        <f t="shared" si="100"/>
        <v>0.11813025343284025</v>
      </c>
      <c r="DH48" s="6">
        <f t="shared" si="100"/>
        <v>0.37488418260121026</v>
      </c>
      <c r="DI48" s="6"/>
      <c r="DJ48" s="6"/>
      <c r="DK48" s="6"/>
      <c r="DL48" s="6"/>
      <c r="DM48" s="6"/>
      <c r="DN48" s="6"/>
      <c r="DO48" s="6"/>
      <c r="DQ48" s="1"/>
      <c r="DR48" s="2" t="s">
        <v>15</v>
      </c>
      <c r="DS48" s="6" t="e">
        <f t="shared" ref="DS48:DY48" si="101">DS37/(DS24*8.76)</f>
        <v>#VALUE!</v>
      </c>
      <c r="DT48" t="e">
        <f t="shared" si="101"/>
        <v>#VALUE!</v>
      </c>
      <c r="DU48" s="6" t="e">
        <f t="shared" si="101"/>
        <v>#DIV/0!</v>
      </c>
      <c r="DV48" s="6">
        <f t="shared" si="101"/>
        <v>0.71350765981735165</v>
      </c>
      <c r="DW48" s="6" t="e">
        <f t="shared" si="101"/>
        <v>#VALUE!</v>
      </c>
      <c r="DX48" s="6">
        <f t="shared" si="101"/>
        <v>0.2008224124809741</v>
      </c>
      <c r="DY48" s="6" t="e">
        <f t="shared" si="101"/>
        <v>#DIV/0!</v>
      </c>
      <c r="DZ48" s="6"/>
      <c r="EA48" s="6"/>
      <c r="EB48" s="6"/>
      <c r="EC48" s="6"/>
      <c r="ED48" s="6"/>
      <c r="EE48" s="6"/>
      <c r="EF48" s="6"/>
    </row>
    <row r="49" spans="1:136">
      <c r="A49" s="1"/>
      <c r="B49" s="2" t="s">
        <v>16</v>
      </c>
      <c r="C49" s="6" t="e">
        <f t="shared" ref="C49:I49" si="102">C38/(C25*8.76)</f>
        <v>#VALUE!</v>
      </c>
      <c r="D49" t="e">
        <f t="shared" si="102"/>
        <v>#VALUE!</v>
      </c>
      <c r="E49" s="6" t="e">
        <f t="shared" si="102"/>
        <v>#DIV/0!</v>
      </c>
      <c r="F49" s="6">
        <f t="shared" si="102"/>
        <v>0.61771835959171617</v>
      </c>
      <c r="G49" s="6" t="e">
        <f t="shared" si="102"/>
        <v>#VALUE!</v>
      </c>
      <c r="H49" s="6">
        <f t="shared" si="102"/>
        <v>0.19649543378995435</v>
      </c>
      <c r="I49" s="6" t="e">
        <f t="shared" si="102"/>
        <v>#DIV/0!</v>
      </c>
      <c r="J49" s="6"/>
      <c r="K49" s="6"/>
      <c r="L49" s="6"/>
      <c r="M49" s="6"/>
      <c r="N49" s="6"/>
      <c r="O49" s="6"/>
      <c r="P49" s="6"/>
      <c r="R49" s="1"/>
      <c r="S49" s="2" t="s">
        <v>16</v>
      </c>
      <c r="T49" s="6" t="e">
        <f t="shared" ref="T49:Z49" si="103">T38/(T25*8.76)</f>
        <v>#VALUE!</v>
      </c>
      <c r="U49" t="e">
        <f t="shared" si="103"/>
        <v>#VALUE!</v>
      </c>
      <c r="V49" s="6" t="e">
        <f t="shared" si="103"/>
        <v>#DIV/0!</v>
      </c>
      <c r="W49" s="6">
        <f t="shared" si="103"/>
        <v>0.6198235674428676</v>
      </c>
      <c r="X49" s="6" t="e">
        <f t="shared" si="103"/>
        <v>#VALUE!</v>
      </c>
      <c r="Y49" s="6">
        <f t="shared" si="103"/>
        <v>0.18465911719167113</v>
      </c>
      <c r="Z49" s="6">
        <f t="shared" si="103"/>
        <v>0.48345047875319552</v>
      </c>
      <c r="AA49" s="6"/>
      <c r="AB49" s="6"/>
      <c r="AC49" s="6"/>
      <c r="AD49" s="6"/>
      <c r="AE49" s="6"/>
      <c r="AF49" s="6"/>
      <c r="AG49" s="6"/>
      <c r="AI49" s="1"/>
      <c r="AJ49" s="2" t="s">
        <v>16</v>
      </c>
      <c r="AK49" s="6" t="e">
        <f t="shared" ref="AK49:AQ49" si="104">AK38/(AK25*8.76)</f>
        <v>#VALUE!</v>
      </c>
      <c r="AL49" t="e">
        <f t="shared" si="104"/>
        <v>#VALUE!</v>
      </c>
      <c r="AM49" s="6" t="e">
        <f t="shared" si="104"/>
        <v>#DIV/0!</v>
      </c>
      <c r="AN49" s="6">
        <f t="shared" si="104"/>
        <v>0.61467934181649453</v>
      </c>
      <c r="AO49" s="6" t="e">
        <f t="shared" si="104"/>
        <v>#VALUE!</v>
      </c>
      <c r="AP49" s="6">
        <f t="shared" si="104"/>
        <v>0.1813283105022831</v>
      </c>
      <c r="AQ49" s="6" t="e">
        <f t="shared" si="104"/>
        <v>#DIV/0!</v>
      </c>
      <c r="AR49" s="6"/>
      <c r="AS49" s="6"/>
      <c r="AT49" s="6"/>
      <c r="AU49" s="6"/>
      <c r="AV49" s="6"/>
      <c r="AW49" s="6"/>
      <c r="AX49" s="6"/>
      <c r="AZ49" s="1"/>
      <c r="BA49" s="2" t="s">
        <v>16</v>
      </c>
      <c r="BB49" s="6" t="e">
        <f t="shared" ref="BB49:BH49" si="105">BB38/(BB25*8.76)</f>
        <v>#VALUE!</v>
      </c>
      <c r="BC49" t="e">
        <f t="shared" si="105"/>
        <v>#VALUE!</v>
      </c>
      <c r="BD49" s="6" t="e">
        <f t="shared" si="105"/>
        <v>#DIV/0!</v>
      </c>
      <c r="BE49" s="6">
        <f t="shared" si="105"/>
        <v>0.63317791534952284</v>
      </c>
      <c r="BF49" s="6" t="e">
        <f t="shared" si="105"/>
        <v>#VALUE!</v>
      </c>
      <c r="BG49" s="6">
        <f t="shared" si="105"/>
        <v>0.17607609772430463</v>
      </c>
      <c r="BH49" s="6">
        <f t="shared" si="105"/>
        <v>0.4668912623802372</v>
      </c>
      <c r="BI49" s="6"/>
      <c r="BJ49" s="6"/>
      <c r="BK49" s="6"/>
      <c r="BL49" s="6"/>
      <c r="BM49" s="6"/>
      <c r="BN49" s="6"/>
      <c r="BO49" s="6"/>
      <c r="BQ49" s="1"/>
      <c r="BR49" s="2" t="s">
        <v>16</v>
      </c>
      <c r="BS49" s="6" t="e">
        <f t="shared" ref="BS49:BY49" si="106">BS38/(BS25*8.76)</f>
        <v>#VALUE!</v>
      </c>
      <c r="BT49" t="e">
        <f t="shared" si="106"/>
        <v>#VALUE!</v>
      </c>
      <c r="BU49" s="6" t="e">
        <f t="shared" si="106"/>
        <v>#DIV/0!</v>
      </c>
      <c r="BV49" s="6">
        <f t="shared" si="106"/>
        <v>0.65820415908347207</v>
      </c>
      <c r="BW49" s="6" t="e">
        <f t="shared" si="106"/>
        <v>#VALUE!</v>
      </c>
      <c r="BX49" s="6">
        <f t="shared" si="106"/>
        <v>0.19960913242009132</v>
      </c>
      <c r="BY49" s="6" t="e">
        <f t="shared" si="106"/>
        <v>#DIV/0!</v>
      </c>
      <c r="BZ49" s="6"/>
      <c r="CA49" s="6"/>
      <c r="CB49" s="6"/>
      <c r="CC49" s="6"/>
      <c r="CD49" s="6"/>
      <c r="CE49" s="6"/>
      <c r="CF49" s="6"/>
      <c r="CI49" s="1"/>
      <c r="CJ49" s="2" t="s">
        <v>16</v>
      </c>
      <c r="CK49" s="6" t="e">
        <f t="shared" ref="CK49:CQ49" si="107">CK38/(CK25*8.76)</f>
        <v>#VALUE!</v>
      </c>
      <c r="CL49" t="e">
        <f t="shared" si="107"/>
        <v>#VALUE!</v>
      </c>
      <c r="CM49" s="6" t="e">
        <f t="shared" si="107"/>
        <v>#DIV/0!</v>
      </c>
      <c r="CN49" s="6">
        <f t="shared" si="107"/>
        <v>0.61269277430057512</v>
      </c>
      <c r="CO49" s="6" t="e">
        <f t="shared" si="107"/>
        <v>#VALUE!</v>
      </c>
      <c r="CP49" s="6">
        <f t="shared" si="107"/>
        <v>0.13421718025633506</v>
      </c>
      <c r="CQ49" s="6">
        <f t="shared" si="107"/>
        <v>0.41057272640759879</v>
      </c>
      <c r="CR49" s="6"/>
      <c r="CS49" s="6"/>
      <c r="CT49" s="6"/>
      <c r="CU49" s="6"/>
      <c r="CV49" s="6"/>
      <c r="CW49" s="6"/>
      <c r="CX49" s="6"/>
      <c r="CZ49" s="1"/>
      <c r="DA49" s="2" t="s">
        <v>16</v>
      </c>
      <c r="DB49" s="6" t="e">
        <f t="shared" ref="DB49:DH49" si="108">DB38/(DB25*8.76)</f>
        <v>#VALUE!</v>
      </c>
      <c r="DC49" t="e">
        <f t="shared" si="108"/>
        <v>#VALUE!</v>
      </c>
      <c r="DD49" s="6" t="e">
        <f t="shared" si="108"/>
        <v>#DIV/0!</v>
      </c>
      <c r="DE49" s="6">
        <f t="shared" si="108"/>
        <v>0.61091659056316583</v>
      </c>
      <c r="DF49" s="6" t="e">
        <f t="shared" si="108"/>
        <v>#VALUE!</v>
      </c>
      <c r="DG49" s="6">
        <f t="shared" si="108"/>
        <v>0.12608715479137636</v>
      </c>
      <c r="DH49" s="6">
        <f t="shared" si="108"/>
        <v>0.3959785988688459</v>
      </c>
      <c r="DI49" s="6"/>
      <c r="DJ49" s="6"/>
      <c r="DK49" s="6"/>
      <c r="DL49" s="6"/>
      <c r="DM49" s="6"/>
      <c r="DN49" s="6"/>
      <c r="DO49" s="6"/>
      <c r="DQ49" s="1"/>
      <c r="DR49" s="2" t="s">
        <v>16</v>
      </c>
      <c r="DS49" s="6" t="e">
        <f t="shared" ref="DS49:DY49" si="109">DS38/(DS25*8.76)</f>
        <v>#VALUE!</v>
      </c>
      <c r="DT49" t="e">
        <f t="shared" si="109"/>
        <v>#VALUE!</v>
      </c>
      <c r="DU49" s="6" t="e">
        <f t="shared" si="109"/>
        <v>#DIV/0!</v>
      </c>
      <c r="DV49" s="6">
        <f t="shared" si="109"/>
        <v>0.68248374712660209</v>
      </c>
      <c r="DW49" s="6" t="e">
        <f t="shared" si="109"/>
        <v>#VALUE!</v>
      </c>
      <c r="DX49" s="6">
        <f t="shared" si="109"/>
        <v>0.20144977168949771</v>
      </c>
      <c r="DY49" s="6" t="e">
        <f t="shared" si="109"/>
        <v>#DIV/0!</v>
      </c>
      <c r="DZ49" s="6"/>
      <c r="EA49" s="6"/>
      <c r="EB49" s="6"/>
      <c r="EC49" s="6"/>
      <c r="ED49" s="6"/>
      <c r="EE49" s="6"/>
      <c r="EF49" s="6"/>
    </row>
    <row r="50" spans="1:136">
      <c r="A50" s="1"/>
      <c r="B50" s="2" t="s">
        <v>17</v>
      </c>
      <c r="C50" s="6">
        <f t="shared" ref="C50:I50" si="110">C39/(C26*8.76)</f>
        <v>2.2194314847903296E-2</v>
      </c>
      <c r="D50" t="e">
        <f t="shared" si="110"/>
        <v>#VALUE!</v>
      </c>
      <c r="E50" s="6" t="e">
        <f t="shared" si="110"/>
        <v>#DIV/0!</v>
      </c>
      <c r="F50" s="6">
        <f t="shared" si="110"/>
        <v>0.61821478686311082</v>
      </c>
      <c r="G50" s="6" t="e">
        <f t="shared" si="110"/>
        <v>#VALUE!</v>
      </c>
      <c r="H50" s="6">
        <f t="shared" si="110"/>
        <v>0.11713688008899148</v>
      </c>
      <c r="I50" s="6">
        <f t="shared" si="110"/>
        <v>0.30959590068493148</v>
      </c>
      <c r="J50" s="6"/>
      <c r="K50" s="6"/>
      <c r="L50" s="6"/>
      <c r="M50" s="6"/>
      <c r="N50" s="6"/>
      <c r="O50" s="6"/>
      <c r="P50" s="6"/>
      <c r="R50" s="1"/>
      <c r="S50" s="2" t="s">
        <v>17</v>
      </c>
      <c r="T50" s="6">
        <f t="shared" ref="T50:Z50" si="111">T39/(T26*8.76)</f>
        <v>2.463755707762557E-2</v>
      </c>
      <c r="U50" t="e">
        <f t="shared" si="111"/>
        <v>#VALUE!</v>
      </c>
      <c r="V50" s="6" t="e">
        <f t="shared" si="111"/>
        <v>#DIV/0!</v>
      </c>
      <c r="W50" s="6">
        <f t="shared" si="111"/>
        <v>0.61837917030160816</v>
      </c>
      <c r="X50" s="6" t="e">
        <f t="shared" si="111"/>
        <v>#VALUE!</v>
      </c>
      <c r="Y50" s="6">
        <f t="shared" si="111"/>
        <v>0.10788862116337733</v>
      </c>
      <c r="Z50" s="6">
        <f t="shared" si="111"/>
        <v>0.29892205764840185</v>
      </c>
      <c r="AA50" s="6"/>
      <c r="AB50" s="6"/>
      <c r="AC50" s="6"/>
      <c r="AD50" s="6"/>
      <c r="AE50" s="6"/>
      <c r="AF50" s="6"/>
      <c r="AG50" s="6"/>
      <c r="AI50" s="1"/>
      <c r="AJ50" s="2" t="s">
        <v>17</v>
      </c>
      <c r="AK50" s="6">
        <f t="shared" ref="AK50:AQ50" si="112">AK39/(AK26*8.76)</f>
        <v>2.1355345443716499E-2</v>
      </c>
      <c r="AL50" t="e">
        <f t="shared" si="112"/>
        <v>#VALUE!</v>
      </c>
      <c r="AM50" s="6" t="e">
        <f t="shared" si="112"/>
        <v>#DIV/0!</v>
      </c>
      <c r="AN50" s="6">
        <f t="shared" si="112"/>
        <v>0.61817777168949772</v>
      </c>
      <c r="AO50" s="6" t="e">
        <f t="shared" si="112"/>
        <v>#VALUE!</v>
      </c>
      <c r="AP50" s="6">
        <f t="shared" si="112"/>
        <v>0.11706690880030801</v>
      </c>
      <c r="AQ50" s="6">
        <f t="shared" si="112"/>
        <v>0.3101181332762557</v>
      </c>
      <c r="AR50" s="6"/>
      <c r="AS50" s="6"/>
      <c r="AT50" s="6"/>
      <c r="AU50" s="6"/>
      <c r="AV50" s="6"/>
      <c r="AW50" s="6"/>
      <c r="AX50" s="6"/>
      <c r="AZ50" s="1"/>
      <c r="BA50" s="2" t="s">
        <v>17</v>
      </c>
      <c r="BB50" s="6">
        <f t="shared" ref="BB50:BH50" si="113">BB39/(BB26*8.76)</f>
        <v>2.3537403767674762E-2</v>
      </c>
      <c r="BC50" t="e">
        <f t="shared" si="113"/>
        <v>#VALUE!</v>
      </c>
      <c r="BD50" s="6" t="e">
        <f t="shared" si="113"/>
        <v>#DIV/0!</v>
      </c>
      <c r="BE50" s="6">
        <f t="shared" si="113"/>
        <v>0.6181523478089006</v>
      </c>
      <c r="BF50" s="6" t="e">
        <f t="shared" si="113"/>
        <v>#VALUE!</v>
      </c>
      <c r="BG50" s="6">
        <f t="shared" si="113"/>
        <v>0.10841279703694608</v>
      </c>
      <c r="BH50" s="6">
        <f t="shared" si="113"/>
        <v>0.30163241124429224</v>
      </c>
      <c r="BI50" s="6"/>
      <c r="BJ50" s="6"/>
      <c r="BK50" s="6"/>
      <c r="BL50" s="6"/>
      <c r="BM50" s="6"/>
      <c r="BN50" s="6"/>
      <c r="BO50" s="6"/>
      <c r="BQ50" s="1"/>
      <c r="BR50" s="2" t="s">
        <v>17</v>
      </c>
      <c r="BS50" s="6">
        <f t="shared" ref="BS50:BY50" si="114">BS39/(BS26*8.76)</f>
        <v>5.1612393289656541E-2</v>
      </c>
      <c r="BT50" t="e">
        <f t="shared" si="114"/>
        <v>#VALUE!</v>
      </c>
      <c r="BU50" s="6" t="e">
        <f t="shared" si="114"/>
        <v>#DIV/0!</v>
      </c>
      <c r="BV50" s="6">
        <f t="shared" si="114"/>
        <v>0.74376596499238967</v>
      </c>
      <c r="BW50" s="6" t="e">
        <f t="shared" si="114"/>
        <v>#VALUE!</v>
      </c>
      <c r="BX50" s="6">
        <f t="shared" si="114"/>
        <v>0.20208202598694722</v>
      </c>
      <c r="BY50" s="6">
        <f t="shared" si="114"/>
        <v>0.56212397260273983</v>
      </c>
      <c r="BZ50" s="6"/>
      <c r="CA50" s="6"/>
      <c r="CB50" s="6"/>
      <c r="CC50" s="6"/>
      <c r="CD50" s="6"/>
      <c r="CE50" s="6"/>
      <c r="CF50" s="6"/>
      <c r="CI50" s="1"/>
      <c r="CJ50" s="2" t="s">
        <v>17</v>
      </c>
      <c r="CK50" s="6">
        <f t="shared" ref="CK50:CQ50" si="115">CK39/(CK26*8.76)</f>
        <v>2.1244940220148677E-2</v>
      </c>
      <c r="CL50" t="e">
        <f t="shared" si="115"/>
        <v>#VALUE!</v>
      </c>
      <c r="CM50" s="6" t="e">
        <f t="shared" si="115"/>
        <v>#DIV/0!</v>
      </c>
      <c r="CN50" s="6">
        <f t="shared" si="115"/>
        <v>0.61689867696204437</v>
      </c>
      <c r="CO50" s="6" t="e">
        <f t="shared" si="115"/>
        <v>#VALUE!</v>
      </c>
      <c r="CP50" s="6">
        <f t="shared" si="115"/>
        <v>0.12884922747681102</v>
      </c>
      <c r="CQ50" s="6">
        <f t="shared" si="115"/>
        <v>0.4454956102744414</v>
      </c>
      <c r="CR50" s="6"/>
      <c r="CS50" s="6"/>
      <c r="CT50" s="6"/>
      <c r="CU50" s="6"/>
      <c r="CV50" s="6"/>
      <c r="CW50" s="6"/>
      <c r="CX50" s="6"/>
      <c r="CZ50" s="1"/>
      <c r="DA50" s="2" t="s">
        <v>17</v>
      </c>
      <c r="DB50" s="6">
        <f t="shared" ref="DB50:DH50" si="116">DB39/(DB26*8.76)</f>
        <v>2.1319350693755099E-2</v>
      </c>
      <c r="DC50" t="e">
        <f t="shared" si="116"/>
        <v>#VALUE!</v>
      </c>
      <c r="DD50" s="6" t="e">
        <f t="shared" si="116"/>
        <v>#DIV/0!</v>
      </c>
      <c r="DE50" s="6">
        <f t="shared" si="116"/>
        <v>0.61756460449975437</v>
      </c>
      <c r="DF50" s="6" t="e">
        <f t="shared" si="116"/>
        <v>#VALUE!</v>
      </c>
      <c r="DG50" s="6">
        <f t="shared" si="116"/>
        <v>0.1263580517108023</v>
      </c>
      <c r="DH50" s="6">
        <f t="shared" si="116"/>
        <v>0.43026081148256828</v>
      </c>
      <c r="DI50" s="6"/>
      <c r="DJ50" s="6"/>
      <c r="DK50" s="6"/>
      <c r="DL50" s="6"/>
      <c r="DM50" s="6"/>
      <c r="DN50" s="6"/>
      <c r="DO50" s="6"/>
      <c r="DQ50" s="1"/>
      <c r="DR50" s="2" t="s">
        <v>17</v>
      </c>
      <c r="DS50" s="6">
        <f t="shared" ref="DS50:DY50" si="117">DS39/(DS26*8.76)</f>
        <v>4.5210729490658026E-2</v>
      </c>
      <c r="DT50" t="e">
        <f t="shared" si="117"/>
        <v>#VALUE!</v>
      </c>
      <c r="DU50" s="6" t="e">
        <f t="shared" si="117"/>
        <v>#DIV/0!</v>
      </c>
      <c r="DV50" s="6">
        <f t="shared" si="117"/>
        <v>0.73511037062404871</v>
      </c>
      <c r="DW50" s="6" t="e">
        <f t="shared" si="117"/>
        <v>#VALUE!</v>
      </c>
      <c r="DX50" s="6">
        <f t="shared" si="117"/>
        <v>0.20192477839340114</v>
      </c>
      <c r="DY50" s="6">
        <f t="shared" si="117"/>
        <v>0.56188741657885499</v>
      </c>
      <c r="DZ50" s="6"/>
      <c r="EA50" s="6"/>
      <c r="EB50" s="6"/>
      <c r="EC50" s="6"/>
      <c r="ED50" s="6"/>
      <c r="EE50" s="6"/>
      <c r="EF50" s="6"/>
    </row>
    <row r="51" spans="1:136">
      <c r="A51" s="1"/>
      <c r="B51" s="2" t="s">
        <v>18</v>
      </c>
      <c r="C51" t="e">
        <f t="shared" ref="C51:I51" si="118">C40/(C27*8.76)</f>
        <v>#VALUE!</v>
      </c>
      <c r="D51" t="e">
        <f t="shared" si="118"/>
        <v>#VALUE!</v>
      </c>
      <c r="E51" s="6" t="e">
        <f t="shared" si="118"/>
        <v>#DIV/0!</v>
      </c>
      <c r="F51" s="6">
        <f t="shared" si="118"/>
        <v>0.61479178652968036</v>
      </c>
      <c r="G51" s="6" t="e">
        <f t="shared" si="118"/>
        <v>#VALUE!</v>
      </c>
      <c r="H51" s="6">
        <f t="shared" si="118"/>
        <v>0.15000068493150684</v>
      </c>
      <c r="I51" s="6">
        <f t="shared" si="118"/>
        <v>0.44498048982980482</v>
      </c>
      <c r="J51" s="6"/>
      <c r="K51" s="6"/>
      <c r="L51" s="6"/>
      <c r="M51" s="6"/>
      <c r="N51" s="6"/>
      <c r="O51" s="6"/>
      <c r="P51" s="6"/>
      <c r="R51" s="1"/>
      <c r="S51" s="2" t="s">
        <v>18</v>
      </c>
      <c r="T51" t="e">
        <f t="shared" ref="T51:Z51" si="119">T40/(T27*8.76)</f>
        <v>#VALUE!</v>
      </c>
      <c r="U51" t="e">
        <f t="shared" si="119"/>
        <v>#VALUE!</v>
      </c>
      <c r="V51" s="6" t="e">
        <f t="shared" si="119"/>
        <v>#DIV/0!</v>
      </c>
      <c r="W51" s="6">
        <f t="shared" si="119"/>
        <v>0.61458734589041097</v>
      </c>
      <c r="X51" s="6" t="e">
        <f t="shared" si="119"/>
        <v>#VALUE!</v>
      </c>
      <c r="Y51" s="6">
        <f t="shared" si="119"/>
        <v>0.14796849315068494</v>
      </c>
      <c r="Z51" s="6">
        <f t="shared" si="119"/>
        <v>0.44270516811955168</v>
      </c>
      <c r="AA51" s="6"/>
      <c r="AB51" s="6"/>
      <c r="AC51" s="6"/>
      <c r="AD51" s="6"/>
      <c r="AE51" s="6"/>
      <c r="AF51" s="6"/>
      <c r="AG51" s="6"/>
      <c r="AI51" s="1"/>
      <c r="AJ51" s="2" t="s">
        <v>18</v>
      </c>
      <c r="AK51" t="e">
        <f t="shared" ref="AK51:AQ51" si="120">AK40/(AK27*8.76)</f>
        <v>#VALUE!</v>
      </c>
      <c r="AL51" t="e">
        <f t="shared" si="120"/>
        <v>#VALUE!</v>
      </c>
      <c r="AM51" s="6" t="e">
        <f t="shared" si="120"/>
        <v>#DIV/0!</v>
      </c>
      <c r="AN51" s="6">
        <f t="shared" si="120"/>
        <v>0.61202005136986293</v>
      </c>
      <c r="AO51" s="6" t="e">
        <f t="shared" si="120"/>
        <v>#VALUE!</v>
      </c>
      <c r="AP51" s="6">
        <f t="shared" si="120"/>
        <v>0.1371527397260274</v>
      </c>
      <c r="AQ51" s="6">
        <f t="shared" si="120"/>
        <v>0.43265545869655458</v>
      </c>
      <c r="AR51" s="6"/>
      <c r="AS51" s="6"/>
      <c r="AT51" s="6"/>
      <c r="AU51" s="6"/>
      <c r="AV51" s="6"/>
      <c r="AW51" s="6"/>
      <c r="AX51" s="6"/>
      <c r="AZ51" s="1"/>
      <c r="BA51" s="2" t="s">
        <v>18</v>
      </c>
      <c r="BB51" t="e">
        <f t="shared" ref="BB51:BH51" si="121">BB40/(BB27*8.76)</f>
        <v>#VALUE!</v>
      </c>
      <c r="BC51" t="e">
        <f t="shared" si="121"/>
        <v>#VALUE!</v>
      </c>
      <c r="BD51" s="6" t="e">
        <f t="shared" si="121"/>
        <v>#DIV/0!</v>
      </c>
      <c r="BE51" s="6">
        <f t="shared" si="121"/>
        <v>0.61461437461228641</v>
      </c>
      <c r="BF51" s="6" t="e">
        <f t="shared" si="121"/>
        <v>#VALUE!</v>
      </c>
      <c r="BG51" s="6">
        <f t="shared" si="121"/>
        <v>0.11622853881278537</v>
      </c>
      <c r="BH51" s="6">
        <f t="shared" si="121"/>
        <v>0.41685927770859271</v>
      </c>
      <c r="BI51" s="6"/>
      <c r="BJ51" s="6"/>
      <c r="BK51" s="6"/>
      <c r="BL51" s="6"/>
      <c r="BM51" s="6"/>
      <c r="BN51" s="6"/>
      <c r="BO51" s="6"/>
      <c r="BQ51" s="1"/>
      <c r="BR51" s="2" t="s">
        <v>18</v>
      </c>
      <c r="BS51" t="e">
        <f t="shared" ref="BS51:BY51" si="122">BS40/(BS27*8.76)</f>
        <v>#VALUE!</v>
      </c>
      <c r="BT51" t="e">
        <f t="shared" si="122"/>
        <v>#VALUE!</v>
      </c>
      <c r="BU51" s="6" t="e">
        <f t="shared" si="122"/>
        <v>#DIV/0!</v>
      </c>
      <c r="BV51" s="6">
        <f t="shared" si="122"/>
        <v>0.66883212709284623</v>
      </c>
      <c r="BW51" s="6" t="e">
        <f t="shared" si="122"/>
        <v>#VALUE!</v>
      </c>
      <c r="BX51" s="6">
        <f t="shared" si="122"/>
        <v>0.19897945205479453</v>
      </c>
      <c r="BY51" s="6">
        <f t="shared" si="122"/>
        <v>0.48950217932752171</v>
      </c>
      <c r="BZ51" s="6"/>
      <c r="CA51" s="6"/>
      <c r="CB51" s="6"/>
      <c r="CC51" s="6"/>
      <c r="CD51" s="6"/>
      <c r="CE51" s="6"/>
      <c r="CF51" s="6"/>
      <c r="CI51" s="1"/>
      <c r="CJ51" s="2" t="s">
        <v>18</v>
      </c>
      <c r="CK51" t="e">
        <f t="shared" ref="CK51:CQ51" si="123">CK40/(CK27*8.76)</f>
        <v>#VALUE!</v>
      </c>
      <c r="CL51" t="e">
        <f t="shared" si="123"/>
        <v>#VALUE!</v>
      </c>
      <c r="CM51" s="6" t="e">
        <f t="shared" si="123"/>
        <v>#DIV/0!</v>
      </c>
      <c r="CN51" s="6">
        <f t="shared" si="123"/>
        <v>0.60860193392895201</v>
      </c>
      <c r="CO51" s="6" t="e">
        <f t="shared" si="123"/>
        <v>#VALUE!</v>
      </c>
      <c r="CP51" s="6">
        <f t="shared" si="123"/>
        <v>0.14971391235855877</v>
      </c>
      <c r="CQ51" s="6">
        <f t="shared" si="123"/>
        <v>0.42479068078040672</v>
      </c>
      <c r="CR51" s="6"/>
      <c r="CS51" s="6"/>
      <c r="CT51" s="6"/>
      <c r="CU51" s="6"/>
      <c r="CV51" s="6"/>
      <c r="CW51" s="6"/>
      <c r="CX51" s="6"/>
      <c r="CZ51" s="1"/>
      <c r="DA51" s="2" t="s">
        <v>18</v>
      </c>
      <c r="DB51" t="e">
        <f t="shared" ref="DB51:DH51" si="124">DB40/(DB27*8.76)</f>
        <v>#VALUE!</v>
      </c>
      <c r="DC51" t="e">
        <f t="shared" si="124"/>
        <v>#VALUE!</v>
      </c>
      <c r="DD51" s="6" t="e">
        <f t="shared" si="124"/>
        <v>#DIV/0!</v>
      </c>
      <c r="DE51" s="6">
        <f t="shared" si="124"/>
        <v>0.61031106268738311</v>
      </c>
      <c r="DF51" s="6" t="e">
        <f t="shared" si="124"/>
        <v>#VALUE!</v>
      </c>
      <c r="DG51" s="6">
        <f t="shared" si="124"/>
        <v>0.12850624048706238</v>
      </c>
      <c r="DH51" s="6">
        <f t="shared" si="124"/>
        <v>0.38343856371938562</v>
      </c>
      <c r="DI51" s="6"/>
      <c r="DJ51" s="6"/>
      <c r="DK51" s="6"/>
      <c r="DL51" s="6"/>
      <c r="DM51" s="6"/>
      <c r="DN51" s="6"/>
      <c r="DO51" s="6"/>
      <c r="DQ51" s="1"/>
      <c r="DR51" s="2" t="s">
        <v>18</v>
      </c>
      <c r="DS51" t="e">
        <f t="shared" ref="DS51:DY51" si="125">DS40/(DS27*8.76)</f>
        <v>#VALUE!</v>
      </c>
      <c r="DT51" t="e">
        <f t="shared" si="125"/>
        <v>#VALUE!</v>
      </c>
      <c r="DU51" s="6" t="e">
        <f t="shared" si="125"/>
        <v>#DIV/0!</v>
      </c>
      <c r="DV51" s="6">
        <f t="shared" si="125"/>
        <v>0.67044058864617462</v>
      </c>
      <c r="DW51" s="6" t="e">
        <f t="shared" si="125"/>
        <v>#VALUE!</v>
      </c>
      <c r="DX51" s="6">
        <f t="shared" si="125"/>
        <v>0.19805844748858448</v>
      </c>
      <c r="DY51" s="6">
        <f t="shared" si="125"/>
        <v>0.48835761726857613</v>
      </c>
      <c r="DZ51" s="6"/>
      <c r="EA51" s="6"/>
      <c r="EB51" s="6"/>
      <c r="EC51" s="6"/>
      <c r="ED51" s="6"/>
      <c r="EE51" s="6"/>
      <c r="EF51" s="6"/>
    </row>
    <row r="52" spans="1:136">
      <c r="A52" s="1"/>
      <c r="B52" s="2" t="s">
        <v>19</v>
      </c>
      <c r="C52" t="e">
        <f t="shared" ref="C52:I52" si="126">C41/(C28*8.76)</f>
        <v>#VALUE!</v>
      </c>
      <c r="D52" t="e">
        <f t="shared" si="126"/>
        <v>#VALUE!</v>
      </c>
      <c r="E52" s="6" t="e">
        <f t="shared" si="126"/>
        <v>#DIV/0!</v>
      </c>
      <c r="F52" s="6" t="e">
        <f t="shared" si="126"/>
        <v>#DIV/0!</v>
      </c>
      <c r="G52" s="6">
        <f t="shared" si="126"/>
        <v>4.2485159817351598E-2</v>
      </c>
      <c r="H52" s="6">
        <f t="shared" si="126"/>
        <v>5.3346227693693821E-2</v>
      </c>
      <c r="I52" s="6">
        <f t="shared" si="126"/>
        <v>0.15552447108066972</v>
      </c>
      <c r="J52" s="6"/>
      <c r="K52" s="6"/>
      <c r="L52" s="6"/>
      <c r="M52" s="6"/>
      <c r="N52" s="6"/>
      <c r="O52" s="6"/>
      <c r="P52" s="6"/>
      <c r="R52" s="1"/>
      <c r="S52" s="2" t="s">
        <v>19</v>
      </c>
      <c r="T52" t="e">
        <f t="shared" ref="T52:Z52" si="127">T41/(T28*8.76)</f>
        <v>#VALUE!</v>
      </c>
      <c r="U52" t="e">
        <f t="shared" si="127"/>
        <v>#VALUE!</v>
      </c>
      <c r="V52" s="6" t="e">
        <f t="shared" si="127"/>
        <v>#DIV/0!</v>
      </c>
      <c r="W52" s="6" t="e">
        <f t="shared" si="127"/>
        <v>#DIV/0!</v>
      </c>
      <c r="X52" s="6">
        <f t="shared" si="127"/>
        <v>4.7181592465753423E-2</v>
      </c>
      <c r="Y52" s="6">
        <f t="shared" si="127"/>
        <v>5.5451101043801382E-2</v>
      </c>
      <c r="Z52" s="6">
        <f t="shared" si="127"/>
        <v>0.14500478025114155</v>
      </c>
      <c r="AA52" s="6"/>
      <c r="AB52" s="6"/>
      <c r="AC52" s="6"/>
      <c r="AD52" s="6"/>
      <c r="AE52" s="6"/>
      <c r="AF52" s="6"/>
      <c r="AG52" s="6"/>
      <c r="AI52" s="1"/>
      <c r="AJ52" s="2" t="s">
        <v>19</v>
      </c>
      <c r="AK52" t="e">
        <f t="shared" ref="AK52:AQ52" si="128">AK41/(AK28*8.76)</f>
        <v>#VALUE!</v>
      </c>
      <c r="AL52" t="e">
        <f t="shared" si="128"/>
        <v>#VALUE!</v>
      </c>
      <c r="AM52" s="6" t="e">
        <f t="shared" si="128"/>
        <v>#DIV/0!</v>
      </c>
      <c r="AN52" s="6" t="e">
        <f t="shared" si="128"/>
        <v>#DIV/0!</v>
      </c>
      <c r="AO52" s="6">
        <f t="shared" si="128"/>
        <v>4.1414526255707768E-2</v>
      </c>
      <c r="AP52" s="6">
        <f t="shared" si="128"/>
        <v>4.8126641407073074E-2</v>
      </c>
      <c r="AQ52" s="6">
        <f t="shared" si="128"/>
        <v>0.1548439450152207</v>
      </c>
      <c r="AR52" s="6"/>
      <c r="AS52" s="6"/>
      <c r="AT52" s="6"/>
      <c r="AU52" s="6"/>
      <c r="AV52" s="6"/>
      <c r="AW52" s="6"/>
      <c r="AX52" s="6"/>
      <c r="AZ52" s="1"/>
      <c r="BA52" s="2" t="s">
        <v>19</v>
      </c>
      <c r="BB52" t="e">
        <f t="shared" ref="BB52:BH52" si="129">BB41/(BB28*8.76)</f>
        <v>#VALUE!</v>
      </c>
      <c r="BC52" t="e">
        <f t="shared" si="129"/>
        <v>#VALUE!</v>
      </c>
      <c r="BD52" s="6" t="e">
        <f t="shared" si="129"/>
        <v>#DIV/0!</v>
      </c>
      <c r="BE52" s="6" t="e">
        <f t="shared" si="129"/>
        <v>#DIV/0!</v>
      </c>
      <c r="BF52" s="6">
        <f t="shared" si="129"/>
        <v>4.7220390981735159E-2</v>
      </c>
      <c r="BG52" s="6">
        <f t="shared" si="129"/>
        <v>5.5511066809898681E-2</v>
      </c>
      <c r="BH52" s="6">
        <f t="shared" si="129"/>
        <v>0.14502581716133942</v>
      </c>
      <c r="BI52" s="6"/>
      <c r="BJ52" s="6"/>
      <c r="BK52" s="6"/>
      <c r="BL52" s="6"/>
      <c r="BM52" s="6"/>
      <c r="BN52" s="6"/>
      <c r="BO52" s="6"/>
      <c r="BQ52" s="1"/>
      <c r="BR52" s="2" t="s">
        <v>19</v>
      </c>
      <c r="BS52" t="e">
        <f t="shared" ref="BS52:BY52" si="130">BS41/(BS28*8.76)</f>
        <v>#VALUE!</v>
      </c>
      <c r="BT52" t="e">
        <f t="shared" si="130"/>
        <v>#VALUE!</v>
      </c>
      <c r="BU52" s="6" t="e">
        <f t="shared" si="130"/>
        <v>#DIV/0!</v>
      </c>
      <c r="BV52" s="6">
        <f t="shared" si="130"/>
        <v>0.70834722222222224</v>
      </c>
      <c r="BW52" s="6">
        <f t="shared" si="130"/>
        <v>0.79836492579908669</v>
      </c>
      <c r="BX52" s="6">
        <f t="shared" si="130"/>
        <v>0.19894053539585488</v>
      </c>
      <c r="BY52" s="6" t="e">
        <f t="shared" si="130"/>
        <v>#DIV/0!</v>
      </c>
      <c r="BZ52" s="6"/>
      <c r="CA52" s="6"/>
      <c r="CB52" s="6"/>
      <c r="CC52" s="6"/>
      <c r="CD52" s="6"/>
      <c r="CE52" s="6"/>
      <c r="CF52" s="6"/>
      <c r="CI52" s="1"/>
      <c r="CJ52" s="2" t="s">
        <v>19</v>
      </c>
      <c r="CK52" t="e">
        <f t="shared" ref="CK52:CQ52" si="131">CK41/(CK28*8.76)</f>
        <v>#VALUE!</v>
      </c>
      <c r="CL52" t="e">
        <f t="shared" si="131"/>
        <v>#VALUE!</v>
      </c>
      <c r="CM52" s="6" t="e">
        <f t="shared" si="131"/>
        <v>#DIV/0!</v>
      </c>
      <c r="CN52" s="6" t="e">
        <f t="shared" si="131"/>
        <v>#DIV/0!</v>
      </c>
      <c r="CO52" s="6">
        <f t="shared" si="131"/>
        <v>6.5882420091324209E-2</v>
      </c>
      <c r="CP52" s="6">
        <f t="shared" si="131"/>
        <v>0.10679125793895634</v>
      </c>
      <c r="CQ52" s="6">
        <f t="shared" si="131"/>
        <v>0.31001101883561644</v>
      </c>
      <c r="CR52" s="6"/>
      <c r="CS52" s="6"/>
      <c r="CT52" s="6"/>
      <c r="CU52" s="6"/>
      <c r="CV52" s="6"/>
      <c r="CW52" s="6"/>
      <c r="CX52" s="6"/>
      <c r="CZ52" s="1"/>
      <c r="DA52" s="2" t="s">
        <v>19</v>
      </c>
      <c r="DB52" t="e">
        <f t="shared" ref="DB52:DH52" si="132">DB41/(DB28*8.76)</f>
        <v>#VALUE!</v>
      </c>
      <c r="DC52" t="e">
        <f t="shared" si="132"/>
        <v>#VALUE!</v>
      </c>
      <c r="DD52" s="6" t="e">
        <f t="shared" si="132"/>
        <v>#DIV/0!</v>
      </c>
      <c r="DE52" s="6" t="e">
        <f t="shared" si="132"/>
        <v>#DIV/0!</v>
      </c>
      <c r="DF52" s="6">
        <f t="shared" si="132"/>
        <v>6.3382334474885851E-2</v>
      </c>
      <c r="DG52" s="6">
        <f t="shared" si="132"/>
        <v>0.10181342583228581</v>
      </c>
      <c r="DH52" s="6">
        <f t="shared" si="132"/>
        <v>0.3090749634152104</v>
      </c>
      <c r="DI52" s="6"/>
      <c r="DJ52" s="6"/>
      <c r="DK52" s="6"/>
      <c r="DL52" s="6"/>
      <c r="DM52" s="6"/>
      <c r="DN52" s="6"/>
      <c r="DO52" s="6"/>
      <c r="DQ52" s="1"/>
      <c r="DR52" s="2" t="s">
        <v>19</v>
      </c>
      <c r="DS52" t="e">
        <f t="shared" ref="DS52:DY52" si="133">DS41/(DS28*8.76)</f>
        <v>#VALUE!</v>
      </c>
      <c r="DT52" t="e">
        <f t="shared" si="133"/>
        <v>#VALUE!</v>
      </c>
      <c r="DU52" s="6" t="e">
        <f t="shared" si="133"/>
        <v>#DIV/0!</v>
      </c>
      <c r="DV52" s="6">
        <f t="shared" si="133"/>
        <v>0.70591643074581423</v>
      </c>
      <c r="DW52" s="6">
        <f t="shared" si="133"/>
        <v>0.82637350171232882</v>
      </c>
      <c r="DX52" s="6">
        <f t="shared" si="133"/>
        <v>0.1989720953830543</v>
      </c>
      <c r="DY52" s="6" t="e">
        <f t="shared" si="133"/>
        <v>#DIV/0!</v>
      </c>
      <c r="DZ52" s="6"/>
      <c r="EA52" s="6"/>
      <c r="EB52" s="6"/>
      <c r="EC52" s="6"/>
      <c r="ED52" s="6"/>
      <c r="EE52" s="6"/>
      <c r="EF52" s="6"/>
    </row>
    <row r="53" spans="1:136">
      <c r="A53" s="1"/>
      <c r="R53" s="1"/>
      <c r="AI53" s="1"/>
      <c r="AZ53" s="1"/>
      <c r="BQ53" s="1"/>
      <c r="CI53" s="1"/>
      <c r="CZ53" s="1"/>
      <c r="DQ53" s="1"/>
    </row>
    <row r="54" spans="1:136">
      <c r="A54" s="1"/>
      <c r="D54" t="s">
        <v>37</v>
      </c>
      <c r="E54">
        <f>SUM(C32:I41)</f>
        <v>6799.8106109999999</v>
      </c>
      <c r="F54" s="4" t="s">
        <v>38</v>
      </c>
      <c r="R54" s="1"/>
      <c r="U54" t="s">
        <v>37</v>
      </c>
      <c r="V54">
        <f>SUM(T32:Z41)</f>
        <v>6799.8106100000005</v>
      </c>
      <c r="W54" s="4" t="s">
        <v>38</v>
      </c>
      <c r="AI54" s="1"/>
      <c r="AL54" t="s">
        <v>37</v>
      </c>
      <c r="AM54">
        <f>SUM(AK32:AQ41)</f>
        <v>6799.8106109999999</v>
      </c>
      <c r="AN54" s="4" t="s">
        <v>38</v>
      </c>
      <c r="AZ54" s="1"/>
      <c r="BC54" t="s">
        <v>37</v>
      </c>
      <c r="BD54">
        <f>SUM(BB32:BH41)</f>
        <v>6799.8106080000016</v>
      </c>
      <c r="BE54" s="4" t="s">
        <v>38</v>
      </c>
      <c r="BQ54" s="1"/>
      <c r="BT54" t="s">
        <v>37</v>
      </c>
      <c r="BU54">
        <f>SUM(BS32:BY41)</f>
        <v>6799.810609000001</v>
      </c>
      <c r="BV54" s="4" t="s">
        <v>38</v>
      </c>
      <c r="CI54" s="1"/>
      <c r="CL54" t="s">
        <v>37</v>
      </c>
      <c r="CM54">
        <f>SUM(CK32:CQ41)</f>
        <v>6799.8106109999999</v>
      </c>
      <c r="CN54" s="4" t="s">
        <v>38</v>
      </c>
      <c r="CZ54" s="1"/>
      <c r="DC54" t="s">
        <v>37</v>
      </c>
      <c r="DD54">
        <f>SUM(DB32:DH41)</f>
        <v>6799.8106070000022</v>
      </c>
      <c r="DE54" s="4" t="s">
        <v>38</v>
      </c>
      <c r="DQ54" s="1"/>
      <c r="DT54" t="s">
        <v>37</v>
      </c>
      <c r="DU54">
        <f>SUM(DS32:DY41)</f>
        <v>6799.8106080000016</v>
      </c>
      <c r="DV54" s="4" t="s">
        <v>38</v>
      </c>
    </row>
    <row r="55" spans="1:136">
      <c r="A55" s="1"/>
      <c r="D55" t="s">
        <v>39</v>
      </c>
      <c r="E55">
        <f>SUM(E32:E41)</f>
        <v>0</v>
      </c>
      <c r="F55" s="4" t="s">
        <v>38</v>
      </c>
      <c r="R55" s="1"/>
      <c r="U55" t="s">
        <v>39</v>
      </c>
      <c r="V55">
        <f>SUM(V32:V41)</f>
        <v>0</v>
      </c>
      <c r="W55" s="4" t="s">
        <v>38</v>
      </c>
      <c r="AI55" s="1"/>
      <c r="AL55" t="s">
        <v>39</v>
      </c>
      <c r="AM55">
        <f>SUM(AM32:AM41)</f>
        <v>0</v>
      </c>
      <c r="AN55" s="4" t="s">
        <v>38</v>
      </c>
      <c r="AZ55" s="1"/>
      <c r="BC55" t="s">
        <v>39</v>
      </c>
      <c r="BD55">
        <f>SUM(BD32:BD41)</f>
        <v>0</v>
      </c>
      <c r="BE55" s="4" t="s">
        <v>38</v>
      </c>
      <c r="BQ55" s="1"/>
      <c r="BT55" t="s">
        <v>39</v>
      </c>
      <c r="BU55">
        <f>SUM(BU32:BU41)</f>
        <v>0</v>
      </c>
      <c r="BV55" s="4" t="s">
        <v>38</v>
      </c>
      <c r="CI55" s="1"/>
      <c r="CL55" t="s">
        <v>39</v>
      </c>
      <c r="CM55">
        <f>SUM(CM32:CM41)</f>
        <v>0</v>
      </c>
      <c r="CN55" s="4" t="s">
        <v>38</v>
      </c>
      <c r="CZ55" s="1"/>
      <c r="DC55" t="s">
        <v>39</v>
      </c>
      <c r="DD55">
        <f>SUM(DD32:DD41)</f>
        <v>0</v>
      </c>
      <c r="DE55" s="4" t="s">
        <v>38</v>
      </c>
      <c r="DQ55" s="1"/>
      <c r="DT55" t="s">
        <v>39</v>
      </c>
      <c r="DU55">
        <f>SUM(DU32:DU41)</f>
        <v>0</v>
      </c>
      <c r="DV55" s="4" t="s">
        <v>38</v>
      </c>
    </row>
    <row r="56" spans="1:136">
      <c r="A56" s="1"/>
      <c r="D56" t="s">
        <v>40</v>
      </c>
      <c r="E56">
        <f>E55/E54</f>
        <v>0</v>
      </c>
      <c r="R56" s="1"/>
      <c r="U56" t="s">
        <v>40</v>
      </c>
      <c r="V56">
        <f>V55/V54</f>
        <v>0</v>
      </c>
      <c r="AI56" s="1"/>
      <c r="AL56" t="s">
        <v>40</v>
      </c>
      <c r="AM56">
        <f>AM55/AM54</f>
        <v>0</v>
      </c>
      <c r="AZ56" s="1"/>
      <c r="BC56" t="s">
        <v>40</v>
      </c>
      <c r="BD56">
        <f>BD55/BD54</f>
        <v>0</v>
      </c>
      <c r="BQ56" s="1"/>
      <c r="BT56" t="s">
        <v>40</v>
      </c>
      <c r="BU56">
        <f>BU55/BU54</f>
        <v>0</v>
      </c>
      <c r="CI56" s="1"/>
      <c r="CL56" t="s">
        <v>40</v>
      </c>
      <c r="CM56">
        <f>CM55/CM54</f>
        <v>0</v>
      </c>
      <c r="CZ56" s="1"/>
      <c r="DC56" t="s">
        <v>40</v>
      </c>
      <c r="DD56">
        <f>DD55/DD54</f>
        <v>0</v>
      </c>
      <c r="DQ56" s="1"/>
      <c r="DT56" t="s">
        <v>40</v>
      </c>
      <c r="DU56">
        <f>DU55/DU54</f>
        <v>0</v>
      </c>
    </row>
    <row r="57" spans="1:136">
      <c r="A57" s="1"/>
      <c r="D57" t="s">
        <v>41</v>
      </c>
      <c r="E57">
        <v>0.66</v>
      </c>
      <c r="F57" t="s">
        <v>42</v>
      </c>
      <c r="R57" s="1"/>
      <c r="U57" t="s">
        <v>41</v>
      </c>
      <c r="V57">
        <v>0.66</v>
      </c>
      <c r="W57" t="s">
        <v>42</v>
      </c>
      <c r="AI57" s="1"/>
      <c r="AL57" t="s">
        <v>41</v>
      </c>
      <c r="AM57">
        <v>0.66</v>
      </c>
      <c r="AN57" t="s">
        <v>42</v>
      </c>
      <c r="AZ57" s="1"/>
      <c r="BC57" t="s">
        <v>41</v>
      </c>
      <c r="BD57">
        <v>0.66</v>
      </c>
      <c r="BE57" t="s">
        <v>42</v>
      </c>
      <c r="BQ57" s="1"/>
      <c r="BT57" t="s">
        <v>41</v>
      </c>
      <c r="BU57">
        <v>0.66</v>
      </c>
      <c r="BV57" t="s">
        <v>42</v>
      </c>
      <c r="CI57" s="1"/>
      <c r="CL57" t="s">
        <v>41</v>
      </c>
      <c r="CM57">
        <v>0.66</v>
      </c>
      <c r="CN57" t="s">
        <v>42</v>
      </c>
      <c r="CZ57" s="1"/>
      <c r="DC57" t="s">
        <v>41</v>
      </c>
      <c r="DD57">
        <v>0.66</v>
      </c>
      <c r="DE57" t="s">
        <v>42</v>
      </c>
      <c r="DQ57" s="1"/>
      <c r="DT57" t="s">
        <v>41</v>
      </c>
      <c r="DU57">
        <v>0.66</v>
      </c>
      <c r="DV57" t="s">
        <v>42</v>
      </c>
    </row>
    <row r="58" spans="1:136">
      <c r="A58" s="1"/>
      <c r="D58" t="s">
        <v>43</v>
      </c>
      <c r="E58" s="7">
        <f>E55*E57</f>
        <v>0</v>
      </c>
      <c r="F58" t="s">
        <v>44</v>
      </c>
      <c r="R58" s="1"/>
      <c r="U58" t="s">
        <v>43</v>
      </c>
      <c r="V58" s="7">
        <f>V55*V57</f>
        <v>0</v>
      </c>
      <c r="W58" t="s">
        <v>44</v>
      </c>
      <c r="AI58" s="1"/>
      <c r="AL58" t="s">
        <v>43</v>
      </c>
      <c r="AM58" s="7">
        <f>AM55*AM57</f>
        <v>0</v>
      </c>
      <c r="AN58" t="s">
        <v>44</v>
      </c>
      <c r="AZ58" s="1"/>
      <c r="BC58" t="s">
        <v>43</v>
      </c>
      <c r="BD58" s="7">
        <f>BD55*BD57</f>
        <v>0</v>
      </c>
      <c r="BE58" t="s">
        <v>44</v>
      </c>
      <c r="BQ58" s="1"/>
      <c r="BT58" t="s">
        <v>43</v>
      </c>
      <c r="BU58" s="7">
        <f>BU55*BU57</f>
        <v>0</v>
      </c>
      <c r="BV58" t="s">
        <v>44</v>
      </c>
      <c r="CI58" s="1"/>
      <c r="CL58" t="s">
        <v>43</v>
      </c>
      <c r="CM58" s="7">
        <f>CM55*CM57</f>
        <v>0</v>
      </c>
      <c r="CN58" t="s">
        <v>44</v>
      </c>
      <c r="CZ58" s="1"/>
      <c r="DC58" t="s">
        <v>43</v>
      </c>
      <c r="DD58" s="7">
        <f>DD55*DD57</f>
        <v>0</v>
      </c>
      <c r="DE58" t="s">
        <v>44</v>
      </c>
      <c r="DQ58" s="1"/>
      <c r="DT58" t="s">
        <v>43</v>
      </c>
      <c r="DU58" s="7">
        <f>DU55*DU57</f>
        <v>0</v>
      </c>
      <c r="DV58" t="s">
        <v>44</v>
      </c>
    </row>
    <row r="59" spans="1:136">
      <c r="A59" s="1"/>
      <c r="D59" t="s">
        <v>45</v>
      </c>
      <c r="E59" s="5">
        <f>E58/E54</f>
        <v>0</v>
      </c>
      <c r="F59" t="s">
        <v>46</v>
      </c>
      <c r="R59" s="1"/>
      <c r="U59" t="s">
        <v>45</v>
      </c>
      <c r="V59" s="5">
        <f>V58/V54</f>
        <v>0</v>
      </c>
      <c r="W59" t="s">
        <v>46</v>
      </c>
      <c r="AI59" s="1"/>
      <c r="AL59" t="s">
        <v>45</v>
      </c>
      <c r="AM59" s="5">
        <f>AM58/AM54</f>
        <v>0</v>
      </c>
      <c r="AN59" t="s">
        <v>46</v>
      </c>
      <c r="AZ59" s="1"/>
      <c r="BC59" t="s">
        <v>45</v>
      </c>
      <c r="BD59" s="5">
        <f>BD58/BD54</f>
        <v>0</v>
      </c>
      <c r="BE59" t="s">
        <v>46</v>
      </c>
      <c r="BQ59" s="1"/>
      <c r="BT59" t="s">
        <v>45</v>
      </c>
      <c r="BU59" s="5">
        <f>BU58/BU54</f>
        <v>0</v>
      </c>
      <c r="BV59" t="s">
        <v>46</v>
      </c>
      <c r="CI59" s="1"/>
      <c r="CL59" t="s">
        <v>45</v>
      </c>
      <c r="CM59" s="5">
        <f>CM58/CM54</f>
        <v>0</v>
      </c>
      <c r="CN59" t="s">
        <v>46</v>
      </c>
      <c r="CZ59" s="1"/>
      <c r="DC59" t="s">
        <v>45</v>
      </c>
      <c r="DD59" s="5">
        <f>DD58/DD54</f>
        <v>0</v>
      </c>
      <c r="DE59" t="s">
        <v>46</v>
      </c>
      <c r="DQ59" s="1"/>
      <c r="DT59" t="s">
        <v>45</v>
      </c>
      <c r="DU59" s="5">
        <f>DU58/DU54</f>
        <v>0</v>
      </c>
      <c r="DV59" t="s">
        <v>46</v>
      </c>
    </row>
    <row r="62" spans="1:136" ht="19">
      <c r="BR62" s="63" t="s">
        <v>261</v>
      </c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J62" s="63" t="s">
        <v>261</v>
      </c>
      <c r="CK62" s="63"/>
      <c r="CL62" s="63"/>
      <c r="CM62" s="63"/>
      <c r="CN62" s="63"/>
      <c r="CO62" s="63"/>
      <c r="CP62" s="63"/>
      <c r="CQ62" s="63"/>
      <c r="CR62" s="63"/>
      <c r="CS62" s="63"/>
      <c r="CT62" s="63"/>
      <c r="CU62" s="63"/>
      <c r="DA62" s="63" t="s">
        <v>261</v>
      </c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R62" s="63" t="s">
        <v>261</v>
      </c>
      <c r="DS62" s="63"/>
      <c r="DT62" s="63"/>
      <c r="DU62" s="63"/>
      <c r="DV62" s="63"/>
      <c r="DW62" s="63"/>
      <c r="DX62" s="63"/>
      <c r="DY62" s="63"/>
      <c r="DZ62" s="63"/>
      <c r="EA62" s="63"/>
      <c r="EB62" s="63"/>
      <c r="EC62" s="63"/>
    </row>
    <row r="63" spans="1:136"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</row>
    <row r="64" spans="1:136">
      <c r="BS64" t="s">
        <v>36</v>
      </c>
      <c r="BY64" s="65"/>
      <c r="CK64" t="s">
        <v>36</v>
      </c>
      <c r="CQ64" s="65"/>
      <c r="DB64" t="s">
        <v>36</v>
      </c>
      <c r="DH64" s="65"/>
      <c r="DS64" t="s">
        <v>36</v>
      </c>
      <c r="DY64" s="65"/>
    </row>
    <row r="65" spans="70:134">
      <c r="BR65" t="s">
        <v>35</v>
      </c>
      <c r="BS65">
        <f>BW3</f>
        <v>110</v>
      </c>
      <c r="BY65" s="65"/>
      <c r="CA65" t="s">
        <v>32</v>
      </c>
      <c r="CB65" t="s">
        <v>114</v>
      </c>
      <c r="CC65" t="s">
        <v>119</v>
      </c>
      <c r="CJ65" t="s">
        <v>35</v>
      </c>
      <c r="CK65">
        <f>CO3</f>
        <v>97.9</v>
      </c>
      <c r="CQ65" s="65"/>
      <c r="CS65" t="s">
        <v>32</v>
      </c>
      <c r="CT65" t="s">
        <v>114</v>
      </c>
      <c r="CU65" t="s">
        <v>119</v>
      </c>
      <c r="DA65" t="s">
        <v>35</v>
      </c>
      <c r="DB65">
        <f>DF3</f>
        <v>100</v>
      </c>
      <c r="DH65" s="65"/>
      <c r="DJ65" t="s">
        <v>32</v>
      </c>
      <c r="DK65" t="s">
        <v>114</v>
      </c>
      <c r="DL65" t="s">
        <v>119</v>
      </c>
      <c r="DR65" t="s">
        <v>35</v>
      </c>
      <c r="DS65">
        <f>DW3</f>
        <v>112.1</v>
      </c>
      <c r="DY65" s="65"/>
      <c r="EA65" t="s">
        <v>32</v>
      </c>
      <c r="EB65" t="s">
        <v>114</v>
      </c>
      <c r="EC65" t="s">
        <v>119</v>
      </c>
    </row>
    <row r="66" spans="70:134" ht="73.75">
      <c r="BR66" s="51" t="s">
        <v>8</v>
      </c>
      <c r="BS66" s="51" t="s">
        <v>262</v>
      </c>
      <c r="BT66" s="66" t="s">
        <v>263</v>
      </c>
      <c r="BU66" s="15" t="s">
        <v>132</v>
      </c>
      <c r="BV66" s="15" t="s">
        <v>264</v>
      </c>
      <c r="BW66" s="51" t="s">
        <v>265</v>
      </c>
      <c r="BX66" s="51" t="s">
        <v>266</v>
      </c>
      <c r="BY66" s="67"/>
      <c r="BZ66" s="4" t="s">
        <v>83</v>
      </c>
      <c r="CA66" s="7"/>
      <c r="CC66" s="7"/>
      <c r="CJ66" s="51" t="s">
        <v>8</v>
      </c>
      <c r="CK66" s="51" t="s">
        <v>262</v>
      </c>
      <c r="CL66" s="66" t="s">
        <v>263</v>
      </c>
      <c r="CM66" s="15" t="s">
        <v>132</v>
      </c>
      <c r="CN66" s="15" t="s">
        <v>264</v>
      </c>
      <c r="CO66" s="51" t="s">
        <v>265</v>
      </c>
      <c r="CP66" s="51" t="s">
        <v>266</v>
      </c>
      <c r="CQ66" s="67"/>
      <c r="CR66" s="4" t="s">
        <v>83</v>
      </c>
      <c r="CS66" s="7"/>
      <c r="CU66" s="7"/>
      <c r="DA66" s="51" t="s">
        <v>8</v>
      </c>
      <c r="DB66" s="51" t="s">
        <v>262</v>
      </c>
      <c r="DC66" s="66" t="s">
        <v>263</v>
      </c>
      <c r="DD66" s="15" t="s">
        <v>132</v>
      </c>
      <c r="DE66" s="15" t="s">
        <v>264</v>
      </c>
      <c r="DF66" s="51" t="s">
        <v>265</v>
      </c>
      <c r="DG66" s="51" t="s">
        <v>266</v>
      </c>
      <c r="DH66" s="67"/>
      <c r="DI66" s="4" t="s">
        <v>83</v>
      </c>
      <c r="DJ66" s="7"/>
      <c r="DL66" s="7"/>
      <c r="DR66" s="51" t="s">
        <v>8</v>
      </c>
      <c r="DS66" s="51" t="s">
        <v>262</v>
      </c>
      <c r="DT66" s="66" t="s">
        <v>263</v>
      </c>
      <c r="DU66" s="15" t="s">
        <v>132</v>
      </c>
      <c r="DV66" s="15" t="s">
        <v>264</v>
      </c>
      <c r="DW66" s="51" t="s">
        <v>265</v>
      </c>
      <c r="DX66" s="51" t="s">
        <v>266</v>
      </c>
      <c r="DY66" s="67"/>
      <c r="DZ66" s="4" t="s">
        <v>83</v>
      </c>
      <c r="EA66" s="7"/>
      <c r="EC66" s="7"/>
    </row>
    <row r="67" spans="70:134">
      <c r="BR67" t="s">
        <v>9</v>
      </c>
      <c r="BS67" s="7">
        <f>BW5</f>
        <v>59.436045</v>
      </c>
      <c r="BT67" s="17">
        <v>437.01604100000003</v>
      </c>
      <c r="BU67" s="16">
        <f>BV67-BT67</f>
        <v>-21.119721000000027</v>
      </c>
      <c r="BV67" s="16">
        <f>CB32</f>
        <v>415.89632</v>
      </c>
      <c r="BW67" s="7">
        <f>(BS67*BV67+BV81*BS75-BV82*BS67)/BT67</f>
        <v>81.233279852775695</v>
      </c>
      <c r="BX67" s="7">
        <f>BW67+(CC77*BT67/SUM(BT67,BT75)+CC69*BT67/SUM(BT67,BT70))/(BT67*1000)</f>
        <v>84.187269120857295</v>
      </c>
      <c r="BY67" s="65"/>
      <c r="BZ67" s="4" t="s">
        <v>84</v>
      </c>
      <c r="CA67" s="7">
        <f t="shared" ref="CA67:CA77" si="134">CF6</f>
        <v>2.5</v>
      </c>
      <c r="CB67">
        <v>64557</v>
      </c>
      <c r="CC67" s="9">
        <f>CA67*CB67</f>
        <v>161392.5</v>
      </c>
      <c r="CD67">
        <f>BX67*BT67</f>
        <v>36791.187053798611</v>
      </c>
      <c r="CJ67" t="s">
        <v>9</v>
      </c>
      <c r="CK67" s="7">
        <f>CO5</f>
        <v>89.222932999999998</v>
      </c>
      <c r="CL67" s="17">
        <v>437.01604100000003</v>
      </c>
      <c r="CM67" s="16">
        <f>CN67-CL67</f>
        <v>-46.926756000000012</v>
      </c>
      <c r="CN67" s="16">
        <f>CT32</f>
        <v>390.08928500000002</v>
      </c>
      <c r="CO67" s="7">
        <f>(CK67*CN67+CN81*CK75-CN82*CK67)/CL67</f>
        <v>87.089480465389201</v>
      </c>
      <c r="CP67" s="7">
        <f>CO67+(CU77*CL67/SUM(CL67,CL75)+CU69*CL67/SUM(CL67,CL70))/(CL67*1000)</f>
        <v>88.94013768919018</v>
      </c>
      <c r="CQ67" s="65"/>
      <c r="CR67" s="4" t="s">
        <v>84</v>
      </c>
      <c r="CS67" s="7">
        <f t="shared" ref="CS67:CS77" si="135">CX6</f>
        <v>1.8674E-2</v>
      </c>
      <c r="CT67">
        <v>64557</v>
      </c>
      <c r="CU67" s="9">
        <f>CS67*CT67</f>
        <v>1205.5374179999999</v>
      </c>
      <c r="CV67">
        <f>CP67*CL67</f>
        <v>38868.266858924784</v>
      </c>
      <c r="DA67" t="s">
        <v>9</v>
      </c>
      <c r="DB67" s="7">
        <f>DF5</f>
        <v>77.515883000000002</v>
      </c>
      <c r="DC67" s="17">
        <v>437.01604100000003</v>
      </c>
      <c r="DD67" s="16">
        <f>DE67-DC67</f>
        <v>47.04790799999995</v>
      </c>
      <c r="DE67" s="16">
        <f>DK32</f>
        <v>484.06394899999998</v>
      </c>
      <c r="DF67" s="7">
        <f>(DB67*DE67+DE81*DB75-DE82*DB67)/DC67</f>
        <v>72.839585343551533</v>
      </c>
      <c r="DG67" s="7">
        <f>DF67+(DL77*DC67/SUM(DC67,DC75)+DL69*DC67/SUM(DC67,DC70))/(DC67*1000)</f>
        <v>74.233699290096624</v>
      </c>
      <c r="DH67" s="65"/>
      <c r="DI67" s="4" t="s">
        <v>84</v>
      </c>
      <c r="DJ67" s="7">
        <f t="shared" ref="DJ67:DJ77" si="136">DO6</f>
        <v>0</v>
      </c>
      <c r="DK67">
        <v>64557</v>
      </c>
      <c r="DL67" s="9">
        <f>DJ67*DK67</f>
        <v>0</v>
      </c>
      <c r="DM67">
        <f>DG67*DC67</f>
        <v>32441.31737254254</v>
      </c>
      <c r="DR67" t="s">
        <v>9</v>
      </c>
      <c r="DS67" s="7">
        <f>DW5</f>
        <v>61.643852000000003</v>
      </c>
      <c r="DT67" s="17">
        <v>437.01604100000003</v>
      </c>
      <c r="DU67" s="16">
        <f>DV67-DT67</f>
        <v>-76.009468000000027</v>
      </c>
      <c r="DV67" s="16">
        <f>EB32</f>
        <v>361.006573</v>
      </c>
      <c r="DW67" s="7">
        <f>(DS67*DV67+DV81*DS75-DV82*DS67)/DT67</f>
        <v>87.27261317711482</v>
      </c>
      <c r="DX67" s="7">
        <f>DW67+(EC77*DT67/SUM(DT67,DT75)+EC69*DT67/SUM(DT67,DT70))/(DT67*1000)</f>
        <v>90.064098017884234</v>
      </c>
      <c r="DY67" s="65"/>
      <c r="DZ67" s="4" t="s">
        <v>84</v>
      </c>
      <c r="EA67" s="7">
        <f t="shared" ref="EA67:EA77" si="137">EF6</f>
        <v>0.39927299999999999</v>
      </c>
      <c r="EB67">
        <v>64557</v>
      </c>
      <c r="EC67" s="9">
        <f>EA67*EB67</f>
        <v>25775.867061000001</v>
      </c>
      <c r="ED67">
        <f>DX67*DT67</f>
        <v>39359.455552011721</v>
      </c>
    </row>
    <row r="68" spans="70:134">
      <c r="BR68" t="s">
        <v>11</v>
      </c>
      <c r="BS68" s="7">
        <f t="shared" ref="BS68:BS76" si="138">BW6</f>
        <v>54.351402</v>
      </c>
      <c r="BT68" s="17">
        <v>1201.9220989999999</v>
      </c>
      <c r="BU68" s="16">
        <f t="shared" ref="BU68:BU76" si="139">BV68-BT68</f>
        <v>77.765566000000035</v>
      </c>
      <c r="BV68" s="16">
        <f t="shared" ref="BV68:BV76" si="140">CB33</f>
        <v>1279.6876649999999</v>
      </c>
      <c r="BW68" s="7">
        <f>(BV68*BS68-BV88*BS68-BV90*BS68)/BT68</f>
        <v>54.351402</v>
      </c>
      <c r="BX68" s="7">
        <f>BW68+BT68*(CC75/SUM(BT68,BT76)+CC76/SUM(BT68,BT72))/(BT68*1000)</f>
        <v>58.983487552396291</v>
      </c>
      <c r="BY68" s="65"/>
      <c r="BZ68" s="4" t="s">
        <v>85</v>
      </c>
      <c r="CA68" s="7">
        <f t="shared" si="134"/>
        <v>0</v>
      </c>
      <c r="CB68">
        <v>43038</v>
      </c>
      <c r="CC68" s="9">
        <f t="shared" ref="CC68:CC77" si="141">CA68*CB68</f>
        <v>0</v>
      </c>
      <c r="CD68">
        <f t="shared" ref="CD68:CD76" si="142">BX68*BT68</f>
        <v>70893.55716531651</v>
      </c>
      <c r="CJ68" t="s">
        <v>11</v>
      </c>
      <c r="CK68" s="7">
        <f t="shared" ref="CK68:CK76" si="143">CO6</f>
        <v>75.653147000000004</v>
      </c>
      <c r="CL68" s="17">
        <v>1201.9220989999999</v>
      </c>
      <c r="CM68" s="16">
        <f t="shared" ref="CM68:CM76" si="144">CN68-CL68</f>
        <v>-162.5347569999999</v>
      </c>
      <c r="CN68" s="16">
        <f t="shared" ref="CN68:CN76" si="145">CT33</f>
        <v>1039.387342</v>
      </c>
      <c r="CO68" s="7">
        <f>(CN68*CK68-CN88*CK68-CN90*CK68)/CL68</f>
        <v>75.653147000000004</v>
      </c>
      <c r="CP68" s="7">
        <f>CO68+CL68*(CU75/SUM(CL68,CL76)+CU76/SUM(CL68,CL72))/(CL68*1000)</f>
        <v>79.080704921180697</v>
      </c>
      <c r="CQ68" s="65"/>
      <c r="CR68" s="4" t="s">
        <v>85</v>
      </c>
      <c r="CS68" s="7">
        <f t="shared" si="135"/>
        <v>0</v>
      </c>
      <c r="CT68">
        <v>43038</v>
      </c>
      <c r="CU68" s="9">
        <f t="shared" ref="CU68:CU77" si="146">CS68*CT68</f>
        <v>0</v>
      </c>
      <c r="CV68">
        <f t="shared" ref="CV68:CV76" si="147">CP68*CL68</f>
        <v>95048.84684926513</v>
      </c>
      <c r="DA68" t="s">
        <v>11</v>
      </c>
      <c r="DB68" s="7">
        <f t="shared" ref="DB68:DB76" si="148">DF6</f>
        <v>72.306726999999995</v>
      </c>
      <c r="DC68" s="17">
        <v>1201.9220989999999</v>
      </c>
      <c r="DD68" s="16">
        <f t="shared" ref="DD68:DD76" si="149">DE68-DC68</f>
        <v>-114.11720199999991</v>
      </c>
      <c r="DE68" s="16">
        <f t="shared" ref="DE68:DE76" si="150">DK33</f>
        <v>1087.804897</v>
      </c>
      <c r="DF68" s="7">
        <f>(DE68*DB68-DE88*DB68-DE90*DB68)/DC68</f>
        <v>72.306726999999995</v>
      </c>
      <c r="DG68" s="7">
        <f>DF68+DC68*(DL75/SUM(DC68,DC76)+DL76/SUM(DC68,DC72))/(DC68*1000)</f>
        <v>75.6495721762507</v>
      </c>
      <c r="DH68" s="65"/>
      <c r="DI68" s="4" t="s">
        <v>85</v>
      </c>
      <c r="DJ68" s="7">
        <f t="shared" si="136"/>
        <v>0</v>
      </c>
      <c r="DK68">
        <v>43038</v>
      </c>
      <c r="DL68" s="9">
        <f t="shared" ref="DL68:DL77" si="151">DJ68*DK68</f>
        <v>0</v>
      </c>
      <c r="DM68">
        <f t="shared" ref="DM68:DM76" si="152">DG68*DC68</f>
        <v>90924.892578531231</v>
      </c>
      <c r="DR68" t="s">
        <v>11</v>
      </c>
      <c r="DS68" s="7">
        <f t="shared" ref="DS68:DS76" si="153">DW6</f>
        <v>52.996752999999998</v>
      </c>
      <c r="DT68" s="17">
        <v>1201.9220989999999</v>
      </c>
      <c r="DU68" s="16">
        <f t="shared" ref="DU68:DU76" si="154">DV68-DT68</f>
        <v>87.376266000000214</v>
      </c>
      <c r="DV68" s="16">
        <f t="shared" ref="DV68:DV76" si="155">EB33</f>
        <v>1289.2983650000001</v>
      </c>
      <c r="DW68" s="7">
        <f>(DV68*DS68-DV88*DS68-DV90*DS68)/DT68</f>
        <v>52.996752999999998</v>
      </c>
      <c r="DX68" s="7">
        <f>DW68+DT68*(EC75/SUM(DT68,DT76)+EC76/SUM(DT68,DT72))/(DT68*1000)</f>
        <v>57.237323954387307</v>
      </c>
      <c r="DY68" s="65"/>
      <c r="DZ68" s="4" t="s">
        <v>85</v>
      </c>
      <c r="EA68" s="7">
        <f t="shared" si="137"/>
        <v>0</v>
      </c>
      <c r="EB68">
        <v>43038</v>
      </c>
      <c r="EC68" s="9">
        <f t="shared" ref="EC68:EC77" si="156">EA68*EB68</f>
        <v>0</v>
      </c>
      <c r="ED68">
        <f t="shared" ref="ED68:ED76" si="157">DX68*DT68</f>
        <v>68794.804548400163</v>
      </c>
    </row>
    <row r="69" spans="70:134">
      <c r="BR69" t="s">
        <v>12</v>
      </c>
      <c r="BS69" s="7">
        <f t="shared" si="138"/>
        <v>110.87851000000001</v>
      </c>
      <c r="BT69" s="17">
        <v>127.48089999999999</v>
      </c>
      <c r="BU69" s="16">
        <f t="shared" si="139"/>
        <v>21.201750000000004</v>
      </c>
      <c r="BV69" s="16">
        <f t="shared" si="140"/>
        <v>148.68265</v>
      </c>
      <c r="BW69" s="7">
        <f>(BS69*BV69-BV84*BS69+BV83*BS70)/BT69</f>
        <v>114.51937371613768</v>
      </c>
      <c r="BX69" s="7">
        <f>BW69+BT69*(CC70/SUM(BT69,BT70)+CC71/SUM(BT69,BT74))/(BT69*1000)</f>
        <v>115.81723917959646</v>
      </c>
      <c r="BY69" s="65"/>
      <c r="BZ69" s="4" t="s">
        <v>86</v>
      </c>
      <c r="CA69" s="7">
        <f t="shared" si="134"/>
        <v>15.174279</v>
      </c>
      <c r="CB69">
        <v>73324</v>
      </c>
      <c r="CC69" s="9">
        <f t="shared" si="141"/>
        <v>1112638.8333960001</v>
      </c>
      <c r="CD69">
        <f t="shared" si="142"/>
        <v>14764.485886130216</v>
      </c>
      <c r="CJ69" t="s">
        <v>12</v>
      </c>
      <c r="CK69" s="7">
        <f t="shared" si="143"/>
        <v>129.67507699999999</v>
      </c>
      <c r="CL69" s="17">
        <v>127.48089999999999</v>
      </c>
      <c r="CM69" s="16">
        <f t="shared" si="144"/>
        <v>1.8970480000000123</v>
      </c>
      <c r="CN69" s="16">
        <f t="shared" si="145"/>
        <v>129.377948</v>
      </c>
      <c r="CO69" s="7">
        <f>(CK69*CN69-CN84*CK69+CN83*CK70)/CL69</f>
        <v>138.62919617280156</v>
      </c>
      <c r="CP69" s="7">
        <f>CO69+CL69*(CU70/SUM(CL69,CL70)+CU71/SUM(CL69,CL74))/(CL69*1000)</f>
        <v>140.11635904596073</v>
      </c>
      <c r="CQ69" s="65"/>
      <c r="CR69" s="4" t="s">
        <v>86</v>
      </c>
      <c r="CS69" s="7">
        <f t="shared" si="135"/>
        <v>23.665016000000001</v>
      </c>
      <c r="CT69">
        <v>73324</v>
      </c>
      <c r="CU69" s="9">
        <f t="shared" si="146"/>
        <v>1735213.6331840002</v>
      </c>
      <c r="CV69">
        <f t="shared" si="147"/>
        <v>17862.159555902213</v>
      </c>
      <c r="DA69" t="s">
        <v>12</v>
      </c>
      <c r="DB69" s="7">
        <f t="shared" si="148"/>
        <v>181.78474700000001</v>
      </c>
      <c r="DC69" s="17">
        <v>127.48089999999999</v>
      </c>
      <c r="DD69" s="16">
        <f t="shared" si="149"/>
        <v>-40.502311999999989</v>
      </c>
      <c r="DE69" s="16">
        <f t="shared" si="150"/>
        <v>86.978588000000002</v>
      </c>
      <c r="DF69" s="7">
        <f>(DB69*DE69-DE84*DB69+DE83*DB70)/DC69</f>
        <v>205.3723586582642</v>
      </c>
      <c r="DG69" s="7">
        <f>DF69+DC69*(DL70/SUM(DC69,DC70)+DL71/SUM(DC69,DC74))/(DC69*1000)</f>
        <v>206.70785397261957</v>
      </c>
      <c r="DH69" s="65"/>
      <c r="DI69" s="4" t="s">
        <v>86</v>
      </c>
      <c r="DJ69" s="7">
        <f t="shared" si="136"/>
        <v>6.1533660000000001</v>
      </c>
      <c r="DK69">
        <v>73324</v>
      </c>
      <c r="DL69" s="9">
        <f t="shared" si="151"/>
        <v>451189.40858400002</v>
      </c>
      <c r="DM69">
        <f t="shared" si="152"/>
        <v>26351.303261498117</v>
      </c>
      <c r="DR69" t="s">
        <v>12</v>
      </c>
      <c r="DS69" s="7">
        <f t="shared" si="153"/>
        <v>111.65437900000001</v>
      </c>
      <c r="DT69" s="17">
        <v>127.48089999999999</v>
      </c>
      <c r="DU69" s="16">
        <f t="shared" si="154"/>
        <v>20.011638000000005</v>
      </c>
      <c r="DV69" s="16">
        <f t="shared" si="155"/>
        <v>147.492538</v>
      </c>
      <c r="DW69" s="7">
        <f>(DS69*DV69-DV84*DS69+DV83*DS70)/DT69</f>
        <v>113.68081956823099</v>
      </c>
      <c r="DX69" s="7">
        <f>DW69+DT69*(EC70/SUM(DT69,DT70)+EC71/SUM(DT69,DT74))/(DT69*1000)</f>
        <v>115.01068251924087</v>
      </c>
      <c r="DY69" s="65"/>
      <c r="DZ69" s="4" t="s">
        <v>86</v>
      </c>
      <c r="EA69" s="7">
        <f t="shared" si="137"/>
        <v>8.8685860000000005</v>
      </c>
      <c r="EB69">
        <v>73324</v>
      </c>
      <c r="EC69" s="9">
        <f t="shared" si="156"/>
        <v>650280.19986400008</v>
      </c>
      <c r="ED69">
        <f t="shared" si="157"/>
        <v>14661.665317167093</v>
      </c>
    </row>
    <row r="70" spans="70:134">
      <c r="BR70" t="s">
        <v>13</v>
      </c>
      <c r="BS70" s="7">
        <f t="shared" si="138"/>
        <v>117.474605</v>
      </c>
      <c r="BT70" s="17">
        <v>2003.1701990000004</v>
      </c>
      <c r="BU70" s="16">
        <f t="shared" si="139"/>
        <v>-9.9179070000004685</v>
      </c>
      <c r="BV70" s="16">
        <f t="shared" si="140"/>
        <v>1993.2522919999999</v>
      </c>
      <c r="BW70" s="7">
        <f>(BV70*BS70+BV82*BS67-BV83*BS70)/BT70</f>
        <v>115.14851195688671</v>
      </c>
      <c r="BX70" s="7">
        <f>BW70+BT70*(CC69/SUM(BT67,BT70)+CC70/SUM(BT70,BT69))/(BT70*1000)</f>
        <v>116.13338226097217</v>
      </c>
      <c r="BY70" s="65"/>
      <c r="BZ70" s="4" t="s">
        <v>87</v>
      </c>
      <c r="CA70" s="7">
        <f t="shared" si="134"/>
        <v>14.728581999999999</v>
      </c>
      <c r="CB70">
        <v>76512</v>
      </c>
      <c r="CC70" s="9">
        <f t="shared" si="141"/>
        <v>1126913.2659839999</v>
      </c>
      <c r="CD70">
        <f t="shared" si="142"/>
        <v>232634.93045425473</v>
      </c>
      <c r="CJ70" t="s">
        <v>13</v>
      </c>
      <c r="CK70" s="7">
        <f t="shared" si="143"/>
        <v>111.15826199999999</v>
      </c>
      <c r="CL70" s="17">
        <v>2003.1701990000004</v>
      </c>
      <c r="CM70" s="16">
        <f t="shared" si="144"/>
        <v>-2.2174040000004425</v>
      </c>
      <c r="CN70" s="16">
        <f t="shared" si="145"/>
        <v>2000.9527949999999</v>
      </c>
      <c r="CO70" s="7">
        <f>(CN70*CK70+CN82*CK67-CN83*CK70)/CL70</f>
        <v>111.80901840965478</v>
      </c>
      <c r="CP70" s="7">
        <f>CO70+CL70*(CU69/SUM(CL67,CL70)+CU70/SUM(CL70,CL69))/(CL70*1000)</f>
        <v>113.23832025606652</v>
      </c>
      <c r="CQ70" s="65"/>
      <c r="CR70" s="4" t="s">
        <v>87</v>
      </c>
      <c r="CS70" s="7">
        <f t="shared" si="135"/>
        <v>20</v>
      </c>
      <c r="CT70">
        <v>76512</v>
      </c>
      <c r="CU70" s="9">
        <f t="shared" si="146"/>
        <v>1530240</v>
      </c>
      <c r="CV70">
        <f t="shared" si="147"/>
        <v>226835.62852177053</v>
      </c>
      <c r="DA70" t="s">
        <v>13</v>
      </c>
      <c r="DB70" s="7">
        <f t="shared" si="148"/>
        <v>116.10765499999999</v>
      </c>
      <c r="DC70" s="17">
        <v>2003.1701990000004</v>
      </c>
      <c r="DD70" s="16">
        <f t="shared" si="149"/>
        <v>-70.729625000000397</v>
      </c>
      <c r="DE70" s="16">
        <f t="shared" si="150"/>
        <v>1932.440574</v>
      </c>
      <c r="DF70" s="7">
        <f>(DE70*DB70+DE82*DB67-DE83*DB70)/DC70</f>
        <v>115.62707176901506</v>
      </c>
      <c r="DG70" s="7">
        <f>DF70+DC70*(DL69/SUM(DC67,DC70)+DL70/SUM(DC70,DC69))/(DC70*1000)</f>
        <v>116.37850678398058</v>
      </c>
      <c r="DH70" s="65"/>
      <c r="DI70" s="4" t="s">
        <v>87</v>
      </c>
      <c r="DJ70" s="7">
        <f t="shared" si="136"/>
        <v>15.776471000000001</v>
      </c>
      <c r="DK70">
        <v>76512</v>
      </c>
      <c r="DL70" s="9">
        <f t="shared" si="151"/>
        <v>1207089.3491520002</v>
      </c>
      <c r="DM70">
        <f t="shared" si="152"/>
        <v>233125.95659378928</v>
      </c>
      <c r="DR70" t="s">
        <v>13</v>
      </c>
      <c r="DS70" s="7">
        <f t="shared" si="153"/>
        <v>116.95116400000001</v>
      </c>
      <c r="DT70" s="17">
        <v>2003.1701990000004</v>
      </c>
      <c r="DU70" s="16">
        <f t="shared" si="154"/>
        <v>1.4673159999995278</v>
      </c>
      <c r="DV70" s="16">
        <f t="shared" si="155"/>
        <v>2004.6375149999999</v>
      </c>
      <c r="DW70" s="7">
        <f>(DV70*DS70+DV82*DS67-DV83*DS70)/DT70</f>
        <v>115.64509895213827</v>
      </c>
      <c r="DX70" s="7">
        <f>DW70+DT70*(EC69/SUM(DT67,DT70)+EC70/SUM(DT70,DT69))/(DT70*1000)</f>
        <v>116.4724899628829</v>
      </c>
      <c r="DY70" s="65"/>
      <c r="DZ70" s="4" t="s">
        <v>87</v>
      </c>
      <c r="EA70" s="7">
        <f t="shared" si="137"/>
        <v>15.619624999999999</v>
      </c>
      <c r="EB70">
        <v>76512</v>
      </c>
      <c r="EC70" s="9">
        <f t="shared" si="156"/>
        <v>1195088.7479999999</v>
      </c>
      <c r="ED70">
        <f t="shared" si="157"/>
        <v>233314.22089697368</v>
      </c>
    </row>
    <row r="71" spans="70:134">
      <c r="BR71" t="s">
        <v>14</v>
      </c>
      <c r="BS71" s="7">
        <f t="shared" si="138"/>
        <v>98.236532999999994</v>
      </c>
      <c r="BT71" s="17">
        <v>264.01870099999996</v>
      </c>
      <c r="BU71" s="16">
        <f t="shared" si="139"/>
        <v>186.00546300000008</v>
      </c>
      <c r="BV71" s="16">
        <f t="shared" si="140"/>
        <v>450.02416400000004</v>
      </c>
      <c r="BW71" s="7">
        <f>(BS71*BV71+BV89*BS76)/BT71</f>
        <v>86.046231401888946</v>
      </c>
      <c r="BX71" s="7">
        <f>BW71+CC74*BT71/SUM(BT71,BT76)/(BT71*1000)</f>
        <v>91.048301390517793</v>
      </c>
      <c r="BY71" s="68"/>
      <c r="BZ71" s="4" t="s">
        <v>88</v>
      </c>
      <c r="CA71" s="7">
        <f t="shared" si="134"/>
        <v>20</v>
      </c>
      <c r="CB71">
        <v>74918</v>
      </c>
      <c r="CC71" s="9">
        <f t="shared" si="141"/>
        <v>1498360</v>
      </c>
      <c r="CD71">
        <f t="shared" si="142"/>
        <v>24038.454261380997</v>
      </c>
      <c r="CJ71" t="s">
        <v>14</v>
      </c>
      <c r="CK71" s="7">
        <f t="shared" si="143"/>
        <v>49.910474999999998</v>
      </c>
      <c r="CL71" s="17">
        <v>264.01870099999996</v>
      </c>
      <c r="CM71" s="16">
        <f t="shared" si="144"/>
        <v>52.079710000000034</v>
      </c>
      <c r="CN71" s="16">
        <f t="shared" si="145"/>
        <v>316.098411</v>
      </c>
      <c r="CO71" s="7">
        <f>(CK71*CN71+CN89*CK76)/CL71</f>
        <v>49.86451002108663</v>
      </c>
      <c r="CP71" s="7">
        <f>CO71+CU74*CL71/SUM(CL71,CL76)/(CL71*1000)</f>
        <v>52.646930860292983</v>
      </c>
      <c r="CQ71" s="68"/>
      <c r="CR71" s="4" t="s">
        <v>88</v>
      </c>
      <c r="CS71" s="7">
        <f t="shared" si="135"/>
        <v>20</v>
      </c>
      <c r="CT71">
        <v>74918</v>
      </c>
      <c r="CU71" s="9">
        <f t="shared" si="146"/>
        <v>1498360</v>
      </c>
      <c r="CV71">
        <f t="shared" si="147"/>
        <v>13899.774297371365</v>
      </c>
      <c r="DA71" t="s">
        <v>14</v>
      </c>
      <c r="DB71" s="7">
        <f t="shared" si="148"/>
        <v>50.544030999999997</v>
      </c>
      <c r="DC71" s="17">
        <v>264.01870099999996</v>
      </c>
      <c r="DD71" s="16">
        <f t="shared" si="149"/>
        <v>48.117502999999999</v>
      </c>
      <c r="DE71" s="16">
        <f t="shared" si="150"/>
        <v>312.13620399999996</v>
      </c>
      <c r="DF71" s="7">
        <f>(DB71*DE71+DE89*DB76)/DC71</f>
        <v>50.165631869936931</v>
      </c>
      <c r="DG71" s="7">
        <f>DF71+DL74*DC71/SUM(DC71,DC76)/(DC71*1000)</f>
        <v>52.948052709143283</v>
      </c>
      <c r="DH71" s="68"/>
      <c r="DI71" s="4" t="s">
        <v>88</v>
      </c>
      <c r="DJ71" s="7">
        <f t="shared" si="136"/>
        <v>20</v>
      </c>
      <c r="DK71">
        <v>74918</v>
      </c>
      <c r="DL71" s="9">
        <f t="shared" si="151"/>
        <v>1498360</v>
      </c>
      <c r="DM71">
        <f t="shared" si="152"/>
        <v>13979.276096747539</v>
      </c>
      <c r="DR71" t="s">
        <v>14</v>
      </c>
      <c r="DS71" s="7">
        <f t="shared" si="153"/>
        <v>114.522004</v>
      </c>
      <c r="DT71" s="17">
        <v>264.01870099999996</v>
      </c>
      <c r="DU71" s="16">
        <f t="shared" si="154"/>
        <v>101.98109800000003</v>
      </c>
      <c r="DV71" s="16">
        <f t="shared" si="155"/>
        <v>365.999799</v>
      </c>
      <c r="DW71" s="7">
        <f>(DS71*DV71+DV89*DS76)/DT71</f>
        <v>110.87130762047484</v>
      </c>
      <c r="DX71" s="7">
        <f>DW71+EC74*DT71/SUM(DT71,DT76)/(DT71*1000)</f>
        <v>113.90775838397091</v>
      </c>
      <c r="DY71" s="68"/>
      <c r="DZ71" s="4" t="s">
        <v>88</v>
      </c>
      <c r="EA71" s="7">
        <f t="shared" si="137"/>
        <v>20</v>
      </c>
      <c r="EB71">
        <v>74918</v>
      </c>
      <c r="EC71" s="9">
        <f t="shared" si="156"/>
        <v>1498360</v>
      </c>
      <c r="ED71">
        <f t="shared" si="157"/>
        <v>30073.778402357857</v>
      </c>
    </row>
    <row r="72" spans="70:134">
      <c r="BR72" t="s">
        <v>15</v>
      </c>
      <c r="BS72" s="7">
        <f t="shared" si="138"/>
        <v>151.62828200000001</v>
      </c>
      <c r="BT72" s="17">
        <v>473.43939999999998</v>
      </c>
      <c r="BU72" s="16">
        <f t="shared" si="139"/>
        <v>-83.046782000000007</v>
      </c>
      <c r="BV72" s="16">
        <f t="shared" si="140"/>
        <v>390.39261799999997</v>
      </c>
      <c r="BW72" s="7">
        <f>(BV72*BS72-BV85*BS72+BV87*BS76+BV88*BS68)/BT72</f>
        <v>117.46878480849819</v>
      </c>
      <c r="BX72" s="7">
        <f>BW72+BT72*(CC72/SUM(BT72,BT74)+CC73/SUM(BT72,BT76)+CC76/SUM(BT72,BT68))/(BT72*1000)</f>
        <v>123.2385681265832</v>
      </c>
      <c r="BY72" s="68"/>
      <c r="BZ72" s="4" t="s">
        <v>89</v>
      </c>
      <c r="CA72" s="7">
        <f t="shared" si="134"/>
        <v>50.197065000000002</v>
      </c>
      <c r="CB72">
        <v>65354</v>
      </c>
      <c r="CC72" s="9">
        <f t="shared" si="141"/>
        <v>3280578.9860100001</v>
      </c>
      <c r="CD72">
        <f t="shared" si="142"/>
        <v>58345.993750708672</v>
      </c>
      <c r="CJ72" t="s">
        <v>15</v>
      </c>
      <c r="CK72" s="7">
        <f t="shared" si="143"/>
        <v>38.243758999999997</v>
      </c>
      <c r="CL72" s="17">
        <v>473.43939999999998</v>
      </c>
      <c r="CM72" s="16">
        <f t="shared" si="144"/>
        <v>255.60500400000012</v>
      </c>
      <c r="CN72" s="16">
        <f t="shared" si="145"/>
        <v>729.0444040000001</v>
      </c>
      <c r="CO72" s="7">
        <f>(CN72*CK72-CN85*CK72+CN87*CK76+CN88*CK68)/CL72</f>
        <v>43.812444474620818</v>
      </c>
      <c r="CP72" s="7">
        <f>CO72+CL72*(CU72/SUM(CL72,CL74)+CU73/SUM(CL72,CL76)+CU76/SUM(CL72,CL68))/(CL72*1000)</f>
        <v>47.484681098496779</v>
      </c>
      <c r="CQ72" s="68"/>
      <c r="CR72" s="4" t="s">
        <v>89</v>
      </c>
      <c r="CS72" s="7">
        <f t="shared" si="135"/>
        <v>57.433750000000003</v>
      </c>
      <c r="CT72">
        <v>65354</v>
      </c>
      <c r="CU72" s="9">
        <f t="shared" si="146"/>
        <v>3753525.2975000003</v>
      </c>
      <c r="CV72">
        <f t="shared" si="147"/>
        <v>22481.118928463657</v>
      </c>
      <c r="DA72" t="s">
        <v>15</v>
      </c>
      <c r="DB72" s="7">
        <f t="shared" si="148"/>
        <v>43.250298999999998</v>
      </c>
      <c r="DC72" s="17">
        <v>473.43939999999998</v>
      </c>
      <c r="DD72" s="16">
        <f t="shared" si="149"/>
        <v>180.28817800000002</v>
      </c>
      <c r="DE72" s="16">
        <f t="shared" si="150"/>
        <v>653.72757799999999</v>
      </c>
      <c r="DF72" s="7">
        <f>(DE72*DB72-DE85*DB72+DE87*DB76+DE88*DB68)/DC72</f>
        <v>47.351655706069238</v>
      </c>
      <c r="DG72" s="7">
        <f>DF72+DC72*(DL72/SUM(DC72,DC74)+DL73/SUM(DC72,DC76)+DL76/SUM(DC72,DC68))/(DC72*1000)</f>
        <v>50.439020477191697</v>
      </c>
      <c r="DH72" s="68"/>
      <c r="DI72" s="4" t="s">
        <v>89</v>
      </c>
      <c r="DJ72" s="7">
        <f t="shared" si="136"/>
        <v>44.040080000000003</v>
      </c>
      <c r="DK72">
        <v>65354</v>
      </c>
      <c r="DL72" s="9">
        <f t="shared" si="151"/>
        <v>2878195.3883200004</v>
      </c>
      <c r="DM72">
        <f t="shared" si="152"/>
        <v>23879.819591309351</v>
      </c>
      <c r="DR72" t="s">
        <v>15</v>
      </c>
      <c r="DS72" s="7">
        <f t="shared" si="153"/>
        <v>153.27339699999999</v>
      </c>
      <c r="DT72" s="17">
        <v>473.43939999999998</v>
      </c>
      <c r="DU72" s="16">
        <f t="shared" si="154"/>
        <v>-87.864547999999957</v>
      </c>
      <c r="DV72" s="16">
        <f t="shared" si="155"/>
        <v>385.57485200000002</v>
      </c>
      <c r="DW72" s="7">
        <f>(DV72*DS72-DV85*DS72+DV87*DS76+DV88*DS68)/DT72</f>
        <v>129.62036295513013</v>
      </c>
      <c r="DX72" s="7">
        <f>DW72+DT72*(EC72/SUM(DT72,DT74)+EC73/SUM(DT72,DT76)+EC76/SUM(DT72,DT68))/(DT72*1000)</f>
        <v>134.01412556208581</v>
      </c>
      <c r="DY72" s="68"/>
      <c r="DZ72" s="4" t="s">
        <v>89</v>
      </c>
      <c r="EA72" s="7">
        <f t="shared" si="137"/>
        <v>36.716062999999998</v>
      </c>
      <c r="EB72">
        <v>65354</v>
      </c>
      <c r="EC72" s="9">
        <f t="shared" si="156"/>
        <v>2399541.5813019997</v>
      </c>
      <c r="ED72">
        <f t="shared" si="157"/>
        <v>63447.567197638564</v>
      </c>
    </row>
    <row r="73" spans="70:134">
      <c r="BR73" t="s">
        <v>16</v>
      </c>
      <c r="BS73" s="7">
        <f t="shared" si="138"/>
        <v>156.41712799999999</v>
      </c>
      <c r="BT73" s="17">
        <v>16.390519999999999</v>
      </c>
      <c r="BU73" s="16">
        <f t="shared" si="139"/>
        <v>11.184762000000003</v>
      </c>
      <c r="BV73" s="16">
        <f t="shared" si="140"/>
        <v>27.575282000000001</v>
      </c>
      <c r="BW73" s="7">
        <f>(BS73*BV73-BV80*BS73)/BT73</f>
        <v>158.18033877083195</v>
      </c>
      <c r="BX73" s="7">
        <f>BW73+CC67*BT73/SUM(BT73,BT75)/(BT73*1000)</f>
        <v>158.73768456544008</v>
      </c>
      <c r="BY73" s="68"/>
      <c r="BZ73" s="4" t="s">
        <v>90</v>
      </c>
      <c r="CA73" s="7">
        <f t="shared" si="134"/>
        <v>25</v>
      </c>
      <c r="CB73">
        <v>35068</v>
      </c>
      <c r="CC73" s="9">
        <f t="shared" si="141"/>
        <v>876700</v>
      </c>
      <c r="CD73">
        <f t="shared" si="142"/>
        <v>2601.7931936235368</v>
      </c>
      <c r="CJ73" t="s">
        <v>16</v>
      </c>
      <c r="CK73" s="7">
        <f t="shared" si="143"/>
        <v>116.511037</v>
      </c>
      <c r="CL73" s="17">
        <v>16.390519999999999</v>
      </c>
      <c r="CM73" s="16">
        <f t="shared" si="144"/>
        <v>2.2292000000000201E-2</v>
      </c>
      <c r="CN73" s="16">
        <f t="shared" si="145"/>
        <v>16.412811999999999</v>
      </c>
      <c r="CO73" s="7">
        <f>(CK73*CN73-CN80*CK73)/CL73</f>
        <v>116.511037</v>
      </c>
      <c r="CP73" s="7">
        <f>CO73+CU67*CL73/SUM(CL73,CL75)/(CL73*1000)</f>
        <v>116.51520015014741</v>
      </c>
      <c r="CQ73" s="68"/>
      <c r="CR73" s="4" t="s">
        <v>90</v>
      </c>
      <c r="CS73" s="7">
        <f t="shared" si="135"/>
        <v>19.743977000000001</v>
      </c>
      <c r="CT73">
        <v>35068</v>
      </c>
      <c r="CU73" s="9">
        <f t="shared" si="146"/>
        <v>692381.78543600009</v>
      </c>
      <c r="CV73">
        <f t="shared" si="147"/>
        <v>1909.744718364994</v>
      </c>
      <c r="DA73" t="s">
        <v>16</v>
      </c>
      <c r="DB73" s="7">
        <f t="shared" si="148"/>
        <v>117.54768</v>
      </c>
      <c r="DC73" s="17">
        <v>16.390519999999999</v>
      </c>
      <c r="DD73" s="16">
        <f t="shared" si="149"/>
        <v>0</v>
      </c>
      <c r="DE73" s="16">
        <f t="shared" si="150"/>
        <v>16.390519999999999</v>
      </c>
      <c r="DF73" s="7">
        <f>(DB73*DE73-DE80*DB73)/DC73</f>
        <v>117.54768</v>
      </c>
      <c r="DG73" s="7">
        <f>DF73+DL67*DC73/SUM(DC73,DC75)/(DC73*1000)</f>
        <v>117.54768</v>
      </c>
      <c r="DH73" s="68"/>
      <c r="DI73" s="4" t="s">
        <v>90</v>
      </c>
      <c r="DJ73" s="7">
        <f t="shared" si="136"/>
        <v>14.461767</v>
      </c>
      <c r="DK73">
        <v>35068</v>
      </c>
      <c r="DL73" s="9">
        <f t="shared" si="151"/>
        <v>507145.24515600002</v>
      </c>
      <c r="DM73">
        <f t="shared" si="152"/>
        <v>1926.6675999935999</v>
      </c>
      <c r="DR73" t="s">
        <v>16</v>
      </c>
      <c r="DS73" s="7">
        <f t="shared" si="153"/>
        <v>159.17832799999999</v>
      </c>
      <c r="DT73" s="17">
        <v>16.390519999999999</v>
      </c>
      <c r="DU73" s="16">
        <f t="shared" si="154"/>
        <v>-1.7649479999999986</v>
      </c>
      <c r="DV73" s="16">
        <f t="shared" si="155"/>
        <v>14.625572</v>
      </c>
      <c r="DW73" s="7">
        <f>(DS73*DV73-DV80*DS73)/DT73</f>
        <v>159.17832799999999</v>
      </c>
      <c r="DX73" s="7">
        <f>DW73+EC67*DT73/SUM(DT73,DT75)/(DT73*1000)</f>
        <v>159.26734125098022</v>
      </c>
      <c r="DY73" s="68"/>
      <c r="DZ73" s="4" t="s">
        <v>90</v>
      </c>
      <c r="EA73" s="7">
        <f t="shared" si="137"/>
        <v>14.486138</v>
      </c>
      <c r="EB73">
        <v>35068</v>
      </c>
      <c r="EC73" s="9">
        <f t="shared" si="156"/>
        <v>507999.887384</v>
      </c>
      <c r="ED73">
        <f t="shared" si="157"/>
        <v>2610.4745421210159</v>
      </c>
    </row>
    <row r="74" spans="70:134">
      <c r="BR74" t="s">
        <v>17</v>
      </c>
      <c r="BS74" s="7">
        <f t="shared" si="138"/>
        <v>129.549261</v>
      </c>
      <c r="BT74" s="17">
        <v>1821.0732990000001</v>
      </c>
      <c r="BU74" s="16">
        <f t="shared" si="139"/>
        <v>-366.79064200000016</v>
      </c>
      <c r="BV74" s="16">
        <f t="shared" si="140"/>
        <v>1454.282657</v>
      </c>
      <c r="BW74" s="7">
        <f>(BV74*BS74+BV85*BS72+BV84*BS74)/BT74</f>
        <v>132.88611339925836</v>
      </c>
      <c r="BX74" s="7">
        <f>BW74+BT74*(CC71/SUM(BT74,BT69)+CC72/SUM(BT74,BT72))/(BT74*1000)</f>
        <v>135.0848230400089</v>
      </c>
      <c r="BY74" s="68"/>
      <c r="BZ74" s="4" t="s">
        <v>91</v>
      </c>
      <c r="CA74" s="7">
        <f t="shared" si="134"/>
        <v>25</v>
      </c>
      <c r="CB74">
        <v>89264</v>
      </c>
      <c r="CC74" s="9">
        <f t="shared" si="141"/>
        <v>2231600</v>
      </c>
      <c r="CD74">
        <f t="shared" si="142"/>
        <v>245999.36433830022</v>
      </c>
      <c r="CJ74" t="s">
        <v>17</v>
      </c>
      <c r="CK74" s="7">
        <f t="shared" si="143"/>
        <v>124.346518</v>
      </c>
      <c r="CL74" s="17">
        <v>1821.0732990000001</v>
      </c>
      <c r="CM74" s="16">
        <f t="shared" si="144"/>
        <v>-303.79365299999995</v>
      </c>
      <c r="CN74" s="16">
        <f t="shared" si="145"/>
        <v>1517.2796460000002</v>
      </c>
      <c r="CO74" s="7">
        <f>(CN74*CK74+CN85*CK72+CN84*CK74)/CL74</f>
        <v>107.15776330732322</v>
      </c>
      <c r="CP74" s="7">
        <f>CO74+CL74*(CU71/SUM(CL74,CL69)+CU72/SUM(CL74,CL72))/(CL74*1000)</f>
        <v>109.56259353816513</v>
      </c>
      <c r="CQ74" s="68"/>
      <c r="CR74" s="4" t="s">
        <v>91</v>
      </c>
      <c r="CS74" s="7">
        <f t="shared" si="135"/>
        <v>13.906347</v>
      </c>
      <c r="CT74">
        <v>89264</v>
      </c>
      <c r="CU74" s="9">
        <f t="shared" si="146"/>
        <v>1241336.158608</v>
      </c>
      <c r="CV74">
        <f t="shared" si="147"/>
        <v>199521.51366154247</v>
      </c>
      <c r="DA74" t="s">
        <v>17</v>
      </c>
      <c r="DB74" s="7">
        <f t="shared" si="148"/>
        <v>116.42786</v>
      </c>
      <c r="DC74" s="17">
        <v>1821.0732990000001</v>
      </c>
      <c r="DD74" s="16">
        <f t="shared" si="149"/>
        <v>-189.87829000000011</v>
      </c>
      <c r="DE74" s="16">
        <f t="shared" si="150"/>
        <v>1631.195009</v>
      </c>
      <c r="DF74" s="7">
        <f>(DE74*DB74+DE85*DB72+DE84*DB74)/DC74</f>
        <v>105.3305235320048</v>
      </c>
      <c r="DG74" s="7">
        <f>DF74+DC74*(DL71/SUM(DC74,DC69)+DL72/SUM(DC74,DC72))/(DC74*1000)</f>
        <v>107.35386539297998</v>
      </c>
      <c r="DH74" s="68"/>
      <c r="DI74" s="4" t="s">
        <v>91</v>
      </c>
      <c r="DJ74" s="7">
        <f t="shared" si="136"/>
        <v>13.906347</v>
      </c>
      <c r="DK74">
        <v>89264</v>
      </c>
      <c r="DL74" s="9">
        <f t="shared" si="151"/>
        <v>1241336.158608</v>
      </c>
      <c r="DM74">
        <f t="shared" si="152"/>
        <v>195499.25781159601</v>
      </c>
      <c r="DR74" t="s">
        <v>17</v>
      </c>
      <c r="DS74" s="7">
        <f t="shared" si="153"/>
        <v>122.424735</v>
      </c>
      <c r="DT74" s="17">
        <v>1821.0732990000001</v>
      </c>
      <c r="DU74" s="16">
        <f t="shared" si="154"/>
        <v>-234.72390000000019</v>
      </c>
      <c r="DV74" s="16">
        <f t="shared" si="155"/>
        <v>1586.3493989999999</v>
      </c>
      <c r="DW74" s="7">
        <f>(DV74*DS74+DV85*DS72+DV84*DS74)/DT74</f>
        <v>125.23574136138684</v>
      </c>
      <c r="DX74" s="7">
        <f>DW74+DT74*(EC71/SUM(DT74,DT69)+EC72/SUM(DT74,DT72))/(DT74*1000)</f>
        <v>127.05047517794955</v>
      </c>
      <c r="DY74" s="68"/>
      <c r="DZ74" s="4" t="s">
        <v>91</v>
      </c>
      <c r="EA74" s="7">
        <f t="shared" si="137"/>
        <v>15.175971000000001</v>
      </c>
      <c r="EB74">
        <v>89264</v>
      </c>
      <c r="EC74" s="9">
        <f t="shared" si="156"/>
        <v>1354667.8753440001</v>
      </c>
      <c r="ED74">
        <f t="shared" si="157"/>
        <v>231368.22797182621</v>
      </c>
    </row>
    <row r="75" spans="70:134">
      <c r="BR75" t="s">
        <v>18</v>
      </c>
      <c r="BS75" s="7">
        <f t="shared" si="138"/>
        <v>153.37493900000001</v>
      </c>
      <c r="BT75" s="17">
        <v>273.18284999999997</v>
      </c>
      <c r="BU75" s="16">
        <f t="shared" si="139"/>
        <v>90.40359200000006</v>
      </c>
      <c r="BV75" s="16">
        <f t="shared" si="140"/>
        <v>363.58644200000003</v>
      </c>
      <c r="BW75" s="7">
        <f>(BS75*BV75-BV81*BS75)/BT75</f>
        <v>147.19913283574041</v>
      </c>
      <c r="BX75" s="7">
        <f>BW75+CC67*(BT75/SUM(BT73,BT75))/(BT75*1000)</f>
        <v>147.75647863034854</v>
      </c>
      <c r="BY75" s="68"/>
      <c r="BZ75" s="4" t="s">
        <v>92</v>
      </c>
      <c r="CA75" s="7">
        <f t="shared" si="134"/>
        <v>16.64432</v>
      </c>
      <c r="CB75">
        <v>135490</v>
      </c>
      <c r="CC75" s="9">
        <f t="shared" si="141"/>
        <v>2255138.9168000002</v>
      </c>
      <c r="CD75">
        <f t="shared" si="142"/>
        <v>40364.535938202709</v>
      </c>
      <c r="CJ75" t="s">
        <v>18</v>
      </c>
      <c r="CK75" s="7">
        <f t="shared" si="143"/>
        <v>163.80290199999999</v>
      </c>
      <c r="CL75" s="17">
        <v>273.18284999999997</v>
      </c>
      <c r="CM75" s="16">
        <f t="shared" si="144"/>
        <v>-12.523677999999961</v>
      </c>
      <c r="CN75" s="16">
        <f t="shared" si="145"/>
        <v>260.65917200000001</v>
      </c>
      <c r="CO75" s="7">
        <f>(CK75*CN75-CN81*CK75)/CL75</f>
        <v>163.78953551564206</v>
      </c>
      <c r="CP75" s="7">
        <f>CO75+CU67*(CL75/SUM(CL73,CL75))/(CL75*1000)</f>
        <v>163.79369866578946</v>
      </c>
      <c r="CQ75" s="68"/>
      <c r="CR75" s="4" t="s">
        <v>92</v>
      </c>
      <c r="CS75" s="7">
        <f t="shared" si="135"/>
        <v>25</v>
      </c>
      <c r="CT75">
        <v>135490</v>
      </c>
      <c r="CU75" s="9">
        <f t="shared" si="146"/>
        <v>3387250</v>
      </c>
      <c r="CV75">
        <f t="shared" si="147"/>
        <v>44745.629413561561</v>
      </c>
      <c r="DA75" t="s">
        <v>18</v>
      </c>
      <c r="DB75" s="7">
        <f t="shared" si="148"/>
        <v>169.977057</v>
      </c>
      <c r="DC75" s="17">
        <v>273.18284999999997</v>
      </c>
      <c r="DD75" s="16">
        <f t="shared" si="149"/>
        <v>-22.102434999999986</v>
      </c>
      <c r="DE75" s="16">
        <f t="shared" si="150"/>
        <v>251.08041499999999</v>
      </c>
      <c r="DF75" s="7">
        <f>(DB75*DE75-DE81*DB75)/DC75</f>
        <v>169.977057</v>
      </c>
      <c r="DG75" s="7">
        <f>DF75+DL67*(DC75/SUM(DC73,DC75))/(DC75*1000)</f>
        <v>169.977057</v>
      </c>
      <c r="DH75" s="68"/>
      <c r="DI75" s="4" t="s">
        <v>92</v>
      </c>
      <c r="DJ75" s="7">
        <f t="shared" si="136"/>
        <v>23.32582</v>
      </c>
      <c r="DK75">
        <v>135490</v>
      </c>
      <c r="DL75" s="9">
        <f t="shared" si="151"/>
        <v>3160415.3517999998</v>
      </c>
      <c r="DM75">
        <f t="shared" si="152"/>
        <v>46434.816865872446</v>
      </c>
      <c r="DR75" t="s">
        <v>18</v>
      </c>
      <c r="DS75" s="7">
        <f t="shared" si="153"/>
        <v>152.47057000000001</v>
      </c>
      <c r="DT75" s="17">
        <v>273.18284999999997</v>
      </c>
      <c r="DU75" s="16">
        <f t="shared" si="154"/>
        <v>125.07866000000001</v>
      </c>
      <c r="DV75" s="16">
        <f t="shared" si="155"/>
        <v>398.26150999999999</v>
      </c>
      <c r="DW75" s="7">
        <f>(DS75*DV75-DV81*DS75)/DT75</f>
        <v>153.45563413407857</v>
      </c>
      <c r="DX75" s="7">
        <f>DW75+EC67*(DT75/SUM(DT73,DT75))/(DT75*1000)</f>
        <v>153.54464738505879</v>
      </c>
      <c r="DY75" s="68"/>
      <c r="DZ75" s="4" t="s">
        <v>92</v>
      </c>
      <c r="EA75" s="7">
        <f t="shared" si="137"/>
        <v>17.033583</v>
      </c>
      <c r="EB75">
        <v>135490</v>
      </c>
      <c r="EC75" s="9">
        <f t="shared" si="156"/>
        <v>2307880.1606700001</v>
      </c>
      <c r="ED75">
        <f t="shared" si="157"/>
        <v>41945.764374895407</v>
      </c>
    </row>
    <row r="76" spans="70:134">
      <c r="BR76" t="s">
        <v>19</v>
      </c>
      <c r="BS76" s="7">
        <f t="shared" si="138"/>
        <v>115.539614</v>
      </c>
      <c r="BT76" s="17">
        <v>182.11660000000001</v>
      </c>
      <c r="BU76" s="16">
        <f t="shared" si="139"/>
        <v>94.313918999999999</v>
      </c>
      <c r="BV76" s="16">
        <f t="shared" si="140"/>
        <v>276.430519</v>
      </c>
      <c r="BW76" s="7">
        <f>(BS76*BV76-BV87*BS76-BV89*BS71+BV90*BS68)/BT76</f>
        <v>89.429003404362817</v>
      </c>
      <c r="BX76" s="7">
        <f>BW76+BT76*(CC75/SUM(BT76,BT68)+CC74/SUM(BT76,BT71)+CC73/SUM(BT76,BT72))/(BT76*1000)</f>
        <v>97.39780154237377</v>
      </c>
      <c r="BY76" s="65"/>
      <c r="BZ76" s="4" t="s">
        <v>93</v>
      </c>
      <c r="CA76" s="7">
        <f t="shared" si="134"/>
        <v>42.079467999999999</v>
      </c>
      <c r="CB76">
        <v>119550</v>
      </c>
      <c r="CC76" s="9">
        <f t="shared" si="141"/>
        <v>5030600.3993999995</v>
      </c>
      <c r="CD76">
        <f t="shared" si="142"/>
        <v>17737.756464371869</v>
      </c>
      <c r="CJ76" t="s">
        <v>19</v>
      </c>
      <c r="CK76" s="7">
        <f t="shared" si="143"/>
        <v>50.143495000000001</v>
      </c>
      <c r="CL76" s="17">
        <v>182.11660000000001</v>
      </c>
      <c r="CM76" s="16">
        <f t="shared" si="144"/>
        <v>218.39219599999996</v>
      </c>
      <c r="CN76" s="16">
        <f t="shared" si="145"/>
        <v>400.50879599999996</v>
      </c>
      <c r="CO76" s="7">
        <f>(CK76*CN76-CN87*CK76-CN89*CK71+CN90*CK68)/CL76</f>
        <v>19.886219393538127</v>
      </c>
      <c r="CP76" s="7">
        <f>CO76+CL76*(CU75/SUM(CL76,CL68)+CU74/SUM(CL76,CL71)+CU73/SUM(CL76,CL72))/(CL76*1000)</f>
        <v>26.172181660152678</v>
      </c>
      <c r="CQ76" s="65"/>
      <c r="CR76" s="4" t="s">
        <v>93</v>
      </c>
      <c r="CS76" s="7">
        <f t="shared" si="135"/>
        <v>13.736302</v>
      </c>
      <c r="CT76">
        <v>119550</v>
      </c>
      <c r="CU76" s="9">
        <f t="shared" si="146"/>
        <v>1642174.9040999999</v>
      </c>
      <c r="CV76">
        <f t="shared" si="147"/>
        <v>4766.388738529361</v>
      </c>
      <c r="DA76" t="s">
        <v>19</v>
      </c>
      <c r="DB76" s="7">
        <f t="shared" si="148"/>
        <v>52.620291000000002</v>
      </c>
      <c r="DC76" s="17">
        <v>182.11660000000001</v>
      </c>
      <c r="DD76" s="16">
        <f t="shared" si="149"/>
        <v>161.87627300000003</v>
      </c>
      <c r="DE76" s="16">
        <f t="shared" si="150"/>
        <v>343.99287300000003</v>
      </c>
      <c r="DF76" s="7">
        <f>(DB76*DE76-DE87*DB76-DE89*DB71+DE90*DB68)/DC76</f>
        <v>34.006684916362083</v>
      </c>
      <c r="DG76" s="7">
        <f>DF76+DC76*(DL75/SUM(DC76,DC68)+DL74/SUM(DC76,DC71)+DL73/SUM(DC76,DC72))/(DC76*1000)</f>
        <v>39.846189876098194</v>
      </c>
      <c r="DH76" s="65"/>
      <c r="DI76" s="4" t="s">
        <v>93</v>
      </c>
      <c r="DJ76" s="7">
        <f t="shared" si="136"/>
        <v>14.845929999999999</v>
      </c>
      <c r="DK76">
        <v>119550</v>
      </c>
      <c r="DL76" s="9">
        <f t="shared" si="151"/>
        <v>1774830.9314999999</v>
      </c>
      <c r="DM76">
        <f t="shared" si="152"/>
        <v>7256.652623189425</v>
      </c>
      <c r="DR76" t="s">
        <v>19</v>
      </c>
      <c r="DS76" s="7">
        <f t="shared" si="153"/>
        <v>123.973286</v>
      </c>
      <c r="DT76" s="17">
        <v>182.11660000000001</v>
      </c>
      <c r="DU76" s="16">
        <f t="shared" si="154"/>
        <v>64.447885000000014</v>
      </c>
      <c r="DV76" s="16">
        <f t="shared" si="155"/>
        <v>246.56448500000002</v>
      </c>
      <c r="DW76" s="7">
        <f>(DS76*DV76-DV87*DS76-DV89*DS71+DV90*DS68)/DT76</f>
        <v>105.28327960845327</v>
      </c>
      <c r="DX76" s="7">
        <f>DW76+DT76*(EC75/SUM(DT76,DT68)+EC74/SUM(DT76,DT71)+EC73/SUM(DT76,DT72))/(DT76*1000)</f>
        <v>110.76214177167077</v>
      </c>
      <c r="DY76" s="65"/>
      <c r="DZ76" s="4" t="s">
        <v>93</v>
      </c>
      <c r="EA76" s="7">
        <f t="shared" si="137"/>
        <v>36.058798000000003</v>
      </c>
      <c r="EB76">
        <v>119550</v>
      </c>
      <c r="EC76" s="9">
        <f t="shared" si="156"/>
        <v>4310829.3009000001</v>
      </c>
      <c r="ED76">
        <f t="shared" si="157"/>
        <v>20171.624668174656</v>
      </c>
    </row>
    <row r="77" spans="70:134">
      <c r="BY77" s="65"/>
      <c r="BZ77" s="7" t="s">
        <v>226</v>
      </c>
      <c r="CA77" s="7">
        <f t="shared" si="134"/>
        <v>29.679535999999999</v>
      </c>
      <c r="CB77">
        <v>59775</v>
      </c>
      <c r="CC77" s="9">
        <f t="shared" si="141"/>
        <v>1774094.2644</v>
      </c>
      <c r="CQ77" s="65"/>
      <c r="CR77" s="7" t="s">
        <v>226</v>
      </c>
      <c r="CS77" s="7">
        <f t="shared" si="135"/>
        <v>13.539324000000001</v>
      </c>
      <c r="CT77">
        <v>59775</v>
      </c>
      <c r="CU77" s="9">
        <f t="shared" si="146"/>
        <v>809313.09210000001</v>
      </c>
      <c r="DH77" s="65"/>
      <c r="DI77" s="7" t="s">
        <v>226</v>
      </c>
      <c r="DJ77" s="7">
        <f t="shared" si="136"/>
        <v>14.366921</v>
      </c>
      <c r="DK77">
        <v>59775</v>
      </c>
      <c r="DL77" s="9">
        <f t="shared" si="151"/>
        <v>858782.70277500001</v>
      </c>
      <c r="DY77" s="65"/>
      <c r="DZ77" s="7" t="s">
        <v>226</v>
      </c>
      <c r="EA77" s="7">
        <f t="shared" si="137"/>
        <v>30</v>
      </c>
      <c r="EB77">
        <v>59775</v>
      </c>
      <c r="EC77" s="9">
        <f t="shared" si="156"/>
        <v>1793250</v>
      </c>
    </row>
    <row r="78" spans="70:134">
      <c r="BU78" t="s">
        <v>267</v>
      </c>
      <c r="BY78" s="65"/>
      <c r="CD78">
        <f>SUM(CD67:CD76)/SUM(BT67:BT76)</f>
        <v>109.44011551161839</v>
      </c>
      <c r="CM78" t="s">
        <v>267</v>
      </c>
      <c r="CQ78" s="65"/>
      <c r="CV78">
        <f>SUM(CV67:CV76)/SUM(CL67:CL76)</f>
        <v>97.934944050100682</v>
      </c>
      <c r="DD78" t="s">
        <v>267</v>
      </c>
      <c r="DH78" s="65"/>
      <c r="DM78">
        <f>SUM(DM67:DM76)/SUM(DC67:DC76)</f>
        <v>98.799804733659968</v>
      </c>
      <c r="DU78" t="s">
        <v>267</v>
      </c>
      <c r="DY78" s="65"/>
      <c r="ED78">
        <f>SUM(ED67:ED76)/SUM(DT67:DT76)</f>
        <v>109.67181681273887</v>
      </c>
    </row>
    <row r="79" spans="70:134">
      <c r="BY79" s="65"/>
      <c r="CQ79" s="65"/>
      <c r="DH79" s="65"/>
      <c r="DY79" s="65"/>
    </row>
    <row r="80" spans="70:134">
      <c r="BU80" t="s">
        <v>268</v>
      </c>
      <c r="BV80" s="9">
        <v>11</v>
      </c>
      <c r="BW80" t="s">
        <v>269</v>
      </c>
      <c r="BX80" t="s">
        <v>18</v>
      </c>
      <c r="BY80" s="65"/>
      <c r="CM80" t="s">
        <v>268</v>
      </c>
      <c r="CN80" s="9">
        <f>CM73</f>
        <v>2.2292000000000201E-2</v>
      </c>
      <c r="CO80" t="s">
        <v>269</v>
      </c>
      <c r="CP80" t="s">
        <v>18</v>
      </c>
      <c r="CQ80" s="65"/>
      <c r="DD80" t="s">
        <v>268</v>
      </c>
      <c r="DE80" s="9">
        <f>DD73</f>
        <v>0</v>
      </c>
      <c r="DF80" t="s">
        <v>269</v>
      </c>
      <c r="DG80" t="s">
        <v>18</v>
      </c>
      <c r="DH80" s="65"/>
      <c r="DU80" t="s">
        <v>268</v>
      </c>
      <c r="DV80" s="9">
        <f>DU73</f>
        <v>-1.7649479999999986</v>
      </c>
      <c r="DW80" t="s">
        <v>269</v>
      </c>
      <c r="DX80" t="s">
        <v>18</v>
      </c>
      <c r="DY80" s="65"/>
    </row>
    <row r="81" spans="73:129">
      <c r="BU81" t="s">
        <v>270</v>
      </c>
      <c r="BV81" s="9">
        <f>BU75+BV80</f>
        <v>101.40359200000006</v>
      </c>
      <c r="BW81" t="s">
        <v>269</v>
      </c>
      <c r="BX81" t="s">
        <v>9</v>
      </c>
      <c r="BY81" s="65"/>
      <c r="CM81" t="s">
        <v>270</v>
      </c>
      <c r="CN81" s="9">
        <f>CM75+CN80</f>
        <v>-12.501385999999961</v>
      </c>
      <c r="CO81" t="s">
        <v>269</v>
      </c>
      <c r="CP81" t="s">
        <v>9</v>
      </c>
      <c r="CQ81" s="65"/>
      <c r="DD81" t="s">
        <v>270</v>
      </c>
      <c r="DE81" s="9">
        <f>DD75+DE80</f>
        <v>-22.102434999999986</v>
      </c>
      <c r="DF81" t="s">
        <v>269</v>
      </c>
      <c r="DG81" t="s">
        <v>9</v>
      </c>
      <c r="DH81" s="65"/>
      <c r="DU81" t="s">
        <v>270</v>
      </c>
      <c r="DV81" s="9">
        <f>DU75+DV80</f>
        <v>123.31371200000001</v>
      </c>
      <c r="DW81" t="s">
        <v>269</v>
      </c>
      <c r="DX81" t="s">
        <v>9</v>
      </c>
      <c r="DY81" s="65"/>
    </row>
    <row r="82" spans="73:129">
      <c r="BU82" t="s">
        <v>271</v>
      </c>
      <c r="BV82" s="9">
        <f>BV81+BU67</f>
        <v>80.283871000000033</v>
      </c>
      <c r="BW82" t="s">
        <v>269</v>
      </c>
      <c r="BX82" t="s">
        <v>13</v>
      </c>
      <c r="BY82" s="65"/>
      <c r="CM82" t="s">
        <v>271</v>
      </c>
      <c r="CN82" s="9">
        <f>CN81+CM67</f>
        <v>-59.428141999999973</v>
      </c>
      <c r="CO82" t="s">
        <v>269</v>
      </c>
      <c r="CP82" t="s">
        <v>13</v>
      </c>
      <c r="CQ82" s="65"/>
      <c r="DD82" t="s">
        <v>271</v>
      </c>
      <c r="DE82" s="9">
        <f>DE81+DD67</f>
        <v>24.945472999999964</v>
      </c>
      <c r="DF82" t="s">
        <v>269</v>
      </c>
      <c r="DG82" t="s">
        <v>13</v>
      </c>
      <c r="DH82" s="65"/>
      <c r="DU82" t="s">
        <v>271</v>
      </c>
      <c r="DV82" s="9">
        <f>DV81+DU67</f>
        <v>47.304243999999983</v>
      </c>
      <c r="DW82" t="s">
        <v>269</v>
      </c>
      <c r="DX82" t="s">
        <v>13</v>
      </c>
      <c r="DY82" s="65"/>
    </row>
    <row r="83" spans="73:129">
      <c r="BU83" t="s">
        <v>272</v>
      </c>
      <c r="BV83" s="9">
        <f>BV82+BU70</f>
        <v>70.365963999999565</v>
      </c>
      <c r="BW83" t="s">
        <v>269</v>
      </c>
      <c r="BX83" t="s">
        <v>12</v>
      </c>
      <c r="BY83" s="65"/>
      <c r="CM83" t="s">
        <v>272</v>
      </c>
      <c r="CN83" s="9">
        <f>CN82+CM70</f>
        <v>-61.645546000000415</v>
      </c>
      <c r="CO83" t="s">
        <v>269</v>
      </c>
      <c r="CP83" t="s">
        <v>12</v>
      </c>
      <c r="CQ83" s="65"/>
      <c r="DD83" t="s">
        <v>272</v>
      </c>
      <c r="DE83" s="9">
        <f>DE82+DD70</f>
        <v>-45.784152000000432</v>
      </c>
      <c r="DF83" t="s">
        <v>269</v>
      </c>
      <c r="DG83" t="s">
        <v>12</v>
      </c>
      <c r="DH83" s="65"/>
      <c r="DU83" t="s">
        <v>272</v>
      </c>
      <c r="DV83" s="9">
        <f>DV82+DU70</f>
        <v>48.771559999999511</v>
      </c>
      <c r="DW83" t="s">
        <v>269</v>
      </c>
      <c r="DX83" t="s">
        <v>12</v>
      </c>
      <c r="DY83" s="65"/>
    </row>
    <row r="84" spans="73:129">
      <c r="BU84" t="s">
        <v>273</v>
      </c>
      <c r="BV84" s="9">
        <f>(BU69+BV83)</f>
        <v>91.567713999999569</v>
      </c>
      <c r="BW84" t="s">
        <v>269</v>
      </c>
      <c r="BX84" t="s">
        <v>17</v>
      </c>
      <c r="BY84" s="65"/>
      <c r="CM84" t="s">
        <v>273</v>
      </c>
      <c r="CN84" s="9">
        <f>(CM69+CN83)</f>
        <v>-59.748498000000403</v>
      </c>
      <c r="CO84" t="s">
        <v>269</v>
      </c>
      <c r="CP84" t="s">
        <v>17</v>
      </c>
      <c r="CQ84" s="65"/>
      <c r="DD84" t="s">
        <v>273</v>
      </c>
      <c r="DE84" s="9">
        <f>(DD69+DE83)</f>
        <v>-86.286464000000421</v>
      </c>
      <c r="DF84" t="s">
        <v>269</v>
      </c>
      <c r="DG84" t="s">
        <v>17</v>
      </c>
      <c r="DH84" s="65"/>
      <c r="DU84" t="s">
        <v>273</v>
      </c>
      <c r="DV84" s="9">
        <f>(DU69+DV83)</f>
        <v>68.783197999999516</v>
      </c>
      <c r="DW84" t="s">
        <v>269</v>
      </c>
      <c r="DX84" t="s">
        <v>17</v>
      </c>
      <c r="DY84" s="65"/>
    </row>
    <row r="85" spans="73:129">
      <c r="BU85" t="s">
        <v>274</v>
      </c>
      <c r="BV85" s="9">
        <f>-(BU74+BV84)</f>
        <v>275.22292800000059</v>
      </c>
      <c r="BW85" t="s">
        <v>275</v>
      </c>
      <c r="BX85" t="s">
        <v>276</v>
      </c>
      <c r="BY85" s="65"/>
      <c r="CM85" t="s">
        <v>274</v>
      </c>
      <c r="CN85" s="9">
        <f>-(CM74+CN84)</f>
        <v>363.54215100000033</v>
      </c>
      <c r="CO85" t="s">
        <v>275</v>
      </c>
      <c r="CP85" t="s">
        <v>276</v>
      </c>
      <c r="CQ85" s="65"/>
      <c r="DD85" t="s">
        <v>274</v>
      </c>
      <c r="DE85" s="9">
        <f>-(DD74+DE84)</f>
        <v>276.16475400000053</v>
      </c>
      <c r="DF85" t="s">
        <v>275</v>
      </c>
      <c r="DG85" t="s">
        <v>276</v>
      </c>
      <c r="DH85" s="65"/>
      <c r="DU85" t="s">
        <v>274</v>
      </c>
      <c r="DV85" s="9">
        <f>-(DU74+DV84)</f>
        <v>165.94070200000067</v>
      </c>
      <c r="DW85" t="s">
        <v>275</v>
      </c>
      <c r="DX85" t="s">
        <v>276</v>
      </c>
      <c r="DY85" s="65"/>
    </row>
    <row r="86" spans="73:129">
      <c r="BU86" s="72" t="s">
        <v>277</v>
      </c>
      <c r="BV86" s="73">
        <f>(BV85-BU72)</f>
        <v>358.2697100000006</v>
      </c>
      <c r="BW86" s="72" t="s">
        <v>275</v>
      </c>
      <c r="BX86" s="72" t="s">
        <v>278</v>
      </c>
      <c r="BY86" s="65"/>
      <c r="CM86" s="72" t="s">
        <v>277</v>
      </c>
      <c r="CN86" s="73">
        <f>(CN85-CM72)</f>
        <v>107.93714700000021</v>
      </c>
      <c r="CO86" s="72" t="s">
        <v>275</v>
      </c>
      <c r="CP86" s="72" t="s">
        <v>278</v>
      </c>
      <c r="CQ86" s="65"/>
      <c r="DD86" s="72" t="s">
        <v>277</v>
      </c>
      <c r="DE86" s="73">
        <f>(DE85-DD72)</f>
        <v>95.876576000000512</v>
      </c>
      <c r="DF86" s="72" t="s">
        <v>275</v>
      </c>
      <c r="DG86" s="72" t="s">
        <v>278</v>
      </c>
      <c r="DH86" s="65"/>
      <c r="DU86" s="72" t="s">
        <v>277</v>
      </c>
      <c r="DV86" s="73">
        <f>(DV85-DU72)</f>
        <v>253.80525000000063</v>
      </c>
      <c r="DW86" s="72" t="s">
        <v>275</v>
      </c>
      <c r="DX86" s="72" t="s">
        <v>278</v>
      </c>
      <c r="DY86" s="65"/>
    </row>
    <row r="87" spans="73:129">
      <c r="BU87" s="18" t="s">
        <v>279</v>
      </c>
      <c r="BV87" s="69">
        <f>BV86-BV88</f>
        <v>305.2697100000006</v>
      </c>
      <c r="BW87" s="18" t="s">
        <v>269</v>
      </c>
      <c r="BX87" s="18" t="s">
        <v>276</v>
      </c>
      <c r="BY87" s="65"/>
      <c r="CM87" s="18" t="s">
        <v>279</v>
      </c>
      <c r="CN87" s="69">
        <f>CN86-CN88</f>
        <v>54.937147000000209</v>
      </c>
      <c r="CO87" s="18" t="s">
        <v>269</v>
      </c>
      <c r="CP87" s="18" t="s">
        <v>276</v>
      </c>
      <c r="CQ87" s="65"/>
      <c r="DD87" s="18" t="s">
        <v>279</v>
      </c>
      <c r="DE87" s="69">
        <f>DE86-DE88</f>
        <v>42.876576000000512</v>
      </c>
      <c r="DF87" s="18" t="s">
        <v>269</v>
      </c>
      <c r="DG87" s="18" t="s">
        <v>276</v>
      </c>
      <c r="DH87" s="65"/>
      <c r="DU87" s="18" t="s">
        <v>279</v>
      </c>
      <c r="DV87" s="69">
        <f>DV86-DV88</f>
        <v>200.80525000000063</v>
      </c>
      <c r="DW87" s="18" t="s">
        <v>269</v>
      </c>
      <c r="DX87" s="18" t="s">
        <v>276</v>
      </c>
      <c r="DY87" s="65"/>
    </row>
    <row r="88" spans="73:129">
      <c r="BU88" s="18" t="s">
        <v>280</v>
      </c>
      <c r="BV88" s="18">
        <v>53</v>
      </c>
      <c r="BW88" s="18" t="s">
        <v>269</v>
      </c>
      <c r="BX88" s="18" t="s">
        <v>276</v>
      </c>
      <c r="BY88" s="65"/>
      <c r="CM88" s="18" t="s">
        <v>280</v>
      </c>
      <c r="CN88" s="18">
        <v>53</v>
      </c>
      <c r="CO88" s="18" t="s">
        <v>269</v>
      </c>
      <c r="CP88" s="18" t="s">
        <v>276</v>
      </c>
      <c r="CQ88" s="65"/>
      <c r="DD88" s="18" t="s">
        <v>280</v>
      </c>
      <c r="DE88" s="18">
        <v>53</v>
      </c>
      <c r="DF88" s="18" t="s">
        <v>269</v>
      </c>
      <c r="DG88" s="18" t="s">
        <v>276</v>
      </c>
      <c r="DH88" s="65"/>
      <c r="DU88" s="18" t="s">
        <v>280</v>
      </c>
      <c r="DV88" s="18">
        <v>53</v>
      </c>
      <c r="DW88" s="18" t="s">
        <v>269</v>
      </c>
      <c r="DX88" s="18" t="s">
        <v>276</v>
      </c>
      <c r="DY88" s="65"/>
    </row>
    <row r="89" spans="73:129">
      <c r="BU89" t="s">
        <v>279</v>
      </c>
      <c r="BV89" s="9">
        <f>-BU71</f>
        <v>-186.00546300000008</v>
      </c>
      <c r="BW89" t="s">
        <v>269</v>
      </c>
      <c r="BX89" t="s">
        <v>14</v>
      </c>
      <c r="BY89" s="65"/>
      <c r="CM89" t="s">
        <v>279</v>
      </c>
      <c r="CN89" s="9">
        <f>-CM71</f>
        <v>-52.079710000000034</v>
      </c>
      <c r="CO89" t="s">
        <v>269</v>
      </c>
      <c r="CP89" t="s">
        <v>14</v>
      </c>
      <c r="CQ89" s="65"/>
      <c r="DD89" t="s">
        <v>279</v>
      </c>
      <c r="DE89" s="9">
        <f>-DD71</f>
        <v>-48.117502999999999</v>
      </c>
      <c r="DF89" t="s">
        <v>269</v>
      </c>
      <c r="DG89" t="s">
        <v>14</v>
      </c>
      <c r="DH89" s="65"/>
      <c r="DU89" t="s">
        <v>279</v>
      </c>
      <c r="DV89" s="9">
        <f>-DU71</f>
        <v>-101.98109800000003</v>
      </c>
      <c r="DW89" t="s">
        <v>269</v>
      </c>
      <c r="DX89" t="s">
        <v>14</v>
      </c>
      <c r="DY89" s="65"/>
    </row>
    <row r="90" spans="73:129">
      <c r="BU90" s="18" t="s">
        <v>280</v>
      </c>
      <c r="BV90" s="69">
        <f>BU68-BV88</f>
        <v>24.765566000000035</v>
      </c>
      <c r="BW90" s="18" t="s">
        <v>269</v>
      </c>
      <c r="BX90" s="18" t="s">
        <v>281</v>
      </c>
      <c r="BY90" s="65"/>
      <c r="CM90" s="18" t="s">
        <v>280</v>
      </c>
      <c r="CN90" s="69">
        <f>CM68-CN88</f>
        <v>-215.5347569999999</v>
      </c>
      <c r="CO90" s="18" t="s">
        <v>269</v>
      </c>
      <c r="CP90" s="18" t="s">
        <v>281</v>
      </c>
      <c r="CQ90" s="65"/>
      <c r="DD90" s="18" t="s">
        <v>280</v>
      </c>
      <c r="DE90" s="69">
        <f>DD68-DE88</f>
        <v>-167.11720199999991</v>
      </c>
      <c r="DF90" s="18" t="s">
        <v>269</v>
      </c>
      <c r="DG90" s="18" t="s">
        <v>281</v>
      </c>
      <c r="DH90" s="65"/>
      <c r="DU90" s="18" t="s">
        <v>280</v>
      </c>
      <c r="DV90" s="69">
        <f>DU68-DV88</f>
        <v>34.376266000000214</v>
      </c>
      <c r="DW90" s="18" t="s">
        <v>269</v>
      </c>
      <c r="DX90" s="18" t="s">
        <v>281</v>
      </c>
      <c r="DY90" s="65"/>
    </row>
    <row r="91" spans="73:129">
      <c r="BU91" s="72" t="s">
        <v>280</v>
      </c>
      <c r="BV91" s="73">
        <f>BU68</f>
        <v>77.765566000000035</v>
      </c>
      <c r="BW91" s="72" t="s">
        <v>269</v>
      </c>
      <c r="BX91" s="72" t="s">
        <v>282</v>
      </c>
      <c r="BY91" s="65"/>
      <c r="CM91" s="72" t="s">
        <v>280</v>
      </c>
      <c r="CN91" s="73">
        <f>CM68</f>
        <v>-162.5347569999999</v>
      </c>
      <c r="CO91" s="72" t="s">
        <v>269</v>
      </c>
      <c r="CP91" s="72" t="s">
        <v>282</v>
      </c>
      <c r="CQ91" s="65"/>
      <c r="DD91" s="72" t="s">
        <v>280</v>
      </c>
      <c r="DE91" s="73">
        <f>DD68</f>
        <v>-114.11720199999991</v>
      </c>
      <c r="DF91" s="72" t="s">
        <v>269</v>
      </c>
      <c r="DG91" s="72" t="s">
        <v>282</v>
      </c>
      <c r="DH91" s="65"/>
      <c r="DU91" s="72" t="s">
        <v>280</v>
      </c>
      <c r="DV91" s="73">
        <f>DU68</f>
        <v>87.376266000000214</v>
      </c>
      <c r="DW91" s="72" t="s">
        <v>269</v>
      </c>
      <c r="DX91" s="72" t="s">
        <v>282</v>
      </c>
      <c r="DY91" s="6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9438-BFD0-4BE7-9231-E4D2335809FE}">
  <sheetPr>
    <tabColor rgb="FFFFFF00"/>
  </sheetPr>
  <dimension ref="A1:BL59"/>
  <sheetViews>
    <sheetView topLeftCell="F1" zoomScale="90" zoomScaleNormal="90" workbookViewId="0">
      <selection activeCell="J9" sqref="J9"/>
    </sheetView>
  </sheetViews>
  <sheetFormatPr defaultRowHeight="14.75"/>
  <cols>
    <col min="6" max="6" width="10.6796875" customWidth="1"/>
    <col min="7" max="7" width="8.76953125" bestFit="1" customWidth="1"/>
    <col min="8" max="8" width="10.2265625" bestFit="1" customWidth="1"/>
    <col min="9" max="9" width="9.2265625" bestFit="1" customWidth="1"/>
    <col min="21" max="21" width="10.6796875" customWidth="1"/>
    <col min="22" max="22" width="8.76953125" bestFit="1" customWidth="1"/>
    <col min="23" max="23" width="10.2265625" bestFit="1" customWidth="1"/>
    <col min="24" max="24" width="9.2265625" bestFit="1" customWidth="1"/>
    <col min="37" max="37" width="10.6796875" customWidth="1"/>
    <col min="38" max="38" width="8.76953125" bestFit="1" customWidth="1"/>
    <col min="39" max="39" width="10.2265625" bestFit="1" customWidth="1"/>
    <col min="40" max="40" width="9.2265625" bestFit="1" customWidth="1"/>
    <col min="53" max="53" width="10.6796875" customWidth="1"/>
    <col min="54" max="54" width="8.76953125" bestFit="1" customWidth="1"/>
    <col min="55" max="55" width="10.2265625" bestFit="1" customWidth="1"/>
    <col min="56" max="56" width="9.2265625" bestFit="1" customWidth="1"/>
  </cols>
  <sheetData>
    <row r="1" spans="1:64">
      <c r="A1" s="1"/>
      <c r="B1" s="1" t="s">
        <v>225</v>
      </c>
      <c r="C1" s="1"/>
      <c r="D1" s="1"/>
      <c r="E1" s="1"/>
      <c r="F1" s="1"/>
      <c r="G1" s="1"/>
      <c r="H1" s="1" t="s">
        <v>222</v>
      </c>
      <c r="I1" s="1"/>
      <c r="J1" s="1"/>
      <c r="K1" s="1"/>
      <c r="L1" s="1"/>
      <c r="M1" s="1"/>
      <c r="N1" s="1" t="s">
        <v>309</v>
      </c>
      <c r="O1" s="1"/>
      <c r="P1" s="1"/>
      <c r="Q1" s="1" t="s">
        <v>227</v>
      </c>
      <c r="R1" s="1"/>
      <c r="S1" s="1"/>
      <c r="T1" s="1"/>
      <c r="U1" s="1"/>
      <c r="V1" s="1"/>
      <c r="W1" s="1"/>
      <c r="X1" s="1" t="s">
        <v>228</v>
      </c>
      <c r="Y1" s="1"/>
      <c r="Z1" s="1"/>
      <c r="AA1" s="1"/>
      <c r="AB1" s="1"/>
      <c r="AC1" s="1"/>
      <c r="AD1" s="1" t="s">
        <v>309</v>
      </c>
      <c r="AE1" s="1"/>
      <c r="AF1" s="1"/>
      <c r="AG1" s="1" t="s">
        <v>257</v>
      </c>
      <c r="AH1" s="1"/>
      <c r="AI1" s="1"/>
      <c r="AJ1" s="1"/>
      <c r="AK1" s="1"/>
      <c r="AL1" s="1"/>
      <c r="AM1" s="1"/>
      <c r="AN1" s="1" t="s">
        <v>311</v>
      </c>
      <c r="AO1" s="1"/>
      <c r="AP1" s="1"/>
      <c r="AQ1" s="1"/>
      <c r="AR1" s="1"/>
      <c r="AS1" s="1"/>
      <c r="AT1" s="1"/>
      <c r="AU1" s="1"/>
      <c r="AV1" s="1"/>
      <c r="AW1" s="1" t="s">
        <v>257</v>
      </c>
      <c r="AX1" s="1"/>
      <c r="AY1" s="1"/>
      <c r="AZ1" s="1"/>
      <c r="BA1" s="1"/>
      <c r="BB1" s="1"/>
      <c r="BC1" s="1"/>
      <c r="BD1" s="1"/>
      <c r="BE1" s="1" t="s">
        <v>332</v>
      </c>
      <c r="BF1" s="1"/>
      <c r="BG1" s="1"/>
      <c r="BH1" s="1"/>
      <c r="BI1" s="1"/>
      <c r="BJ1" s="1"/>
      <c r="BK1" s="1"/>
      <c r="BL1" s="1"/>
    </row>
    <row r="2" spans="1:64">
      <c r="A2" s="1"/>
      <c r="B2" t="s">
        <v>224</v>
      </c>
      <c r="C2" t="s">
        <v>343</v>
      </c>
      <c r="D2" s="22" t="s">
        <v>223</v>
      </c>
      <c r="E2" s="22"/>
      <c r="F2" s="22"/>
      <c r="G2" s="22"/>
      <c r="H2" t="s">
        <v>104</v>
      </c>
      <c r="L2" t="s">
        <v>104</v>
      </c>
      <c r="P2" s="1"/>
      <c r="Q2" t="s">
        <v>224</v>
      </c>
      <c r="R2" t="s">
        <v>344</v>
      </c>
      <c r="S2" s="22" t="s">
        <v>223</v>
      </c>
      <c r="T2" s="22"/>
      <c r="U2" s="22"/>
      <c r="V2" s="22"/>
      <c r="W2" t="s">
        <v>104</v>
      </c>
      <c r="AF2" s="1"/>
      <c r="AG2" t="s">
        <v>256</v>
      </c>
      <c r="AH2" t="s">
        <v>345</v>
      </c>
      <c r="AI2" s="22" t="s">
        <v>223</v>
      </c>
      <c r="AJ2" s="22"/>
      <c r="AK2" s="22"/>
      <c r="AL2" s="22"/>
      <c r="AM2" t="s">
        <v>104</v>
      </c>
      <c r="AP2" t="s">
        <v>310</v>
      </c>
      <c r="AV2" s="1"/>
      <c r="AW2" t="s">
        <v>331</v>
      </c>
      <c r="AX2" t="s">
        <v>346</v>
      </c>
      <c r="AY2" s="22" t="s">
        <v>223</v>
      </c>
      <c r="AZ2" s="22"/>
      <c r="BA2" s="22"/>
      <c r="BB2" s="22"/>
      <c r="BC2" t="s">
        <v>104</v>
      </c>
      <c r="BF2" t="s">
        <v>310</v>
      </c>
      <c r="BL2" s="1"/>
    </row>
    <row r="3" spans="1:64">
      <c r="A3" s="1"/>
      <c r="B3">
        <v>6</v>
      </c>
      <c r="C3" t="s">
        <v>33</v>
      </c>
      <c r="E3" s="14" t="s">
        <v>97</v>
      </c>
      <c r="F3" t="s">
        <v>35</v>
      </c>
      <c r="G3">
        <v>100.7</v>
      </c>
      <c r="H3" s="20">
        <f>(G3-'0. Current system'!$G3)/'0. Current system'!$G3</f>
        <v>-0.44972677595628413</v>
      </c>
      <c r="I3" s="2"/>
      <c r="J3" s="2"/>
      <c r="K3" s="2"/>
      <c r="L3" s="20">
        <f>(K3-'0. Current system'!$G3)/'0. Current system'!$G3</f>
        <v>-1</v>
      </c>
      <c r="P3" s="1"/>
      <c r="Q3">
        <v>6</v>
      </c>
      <c r="R3" t="s">
        <v>33</v>
      </c>
      <c r="T3" s="14" t="s">
        <v>97</v>
      </c>
      <c r="U3" t="s">
        <v>35</v>
      </c>
      <c r="V3">
        <v>101.6</v>
      </c>
      <c r="W3" s="20">
        <f>(V3-'0. Current system'!$G3)/'0. Current system'!$G3</f>
        <v>-0.44480874316939895</v>
      </c>
      <c r="X3" s="2"/>
      <c r="Y3" s="2"/>
      <c r="Z3" s="2"/>
      <c r="AA3" s="2"/>
      <c r="AB3" s="10"/>
      <c r="AF3" s="1"/>
      <c r="AG3">
        <v>6</v>
      </c>
      <c r="AH3" t="s">
        <v>33</v>
      </c>
      <c r="AJ3" s="14" t="s">
        <v>97</v>
      </c>
      <c r="AK3" t="s">
        <v>35</v>
      </c>
      <c r="AL3">
        <v>103</v>
      </c>
      <c r="AM3" s="20">
        <f>(AL3-'0. Current system'!$G3)/'0. Current system'!$G3</f>
        <v>-0.43715846994535518</v>
      </c>
      <c r="AN3" s="2"/>
      <c r="AO3" s="2"/>
      <c r="AP3" s="2"/>
      <c r="AQ3" s="2"/>
      <c r="AR3" s="10"/>
      <c r="AV3" s="1"/>
      <c r="AW3">
        <v>6</v>
      </c>
      <c r="AX3" t="s">
        <v>33</v>
      </c>
      <c r="AZ3" s="14" t="s">
        <v>97</v>
      </c>
      <c r="BA3" t="s">
        <v>35</v>
      </c>
      <c r="BB3">
        <v>104</v>
      </c>
      <c r="BC3" s="20">
        <f>(BB3-'0. Current system'!$G3)/'0. Current system'!$G3</f>
        <v>-0.43169398907103823</v>
      </c>
      <c r="BD3" s="2"/>
      <c r="BE3" s="2"/>
      <c r="BF3" s="2"/>
      <c r="BG3" s="2"/>
      <c r="BH3" s="10"/>
      <c r="BL3" s="1"/>
    </row>
    <row r="4" spans="1:64">
      <c r="A4" s="1"/>
      <c r="B4" s="4" t="s">
        <v>21</v>
      </c>
      <c r="C4" t="s">
        <v>32</v>
      </c>
      <c r="D4" t="s">
        <v>34</v>
      </c>
      <c r="F4" s="4" t="s">
        <v>8</v>
      </c>
      <c r="G4" t="s">
        <v>98</v>
      </c>
      <c r="I4" t="s">
        <v>126</v>
      </c>
      <c r="J4" t="s">
        <v>135</v>
      </c>
      <c r="K4" t="s">
        <v>134</v>
      </c>
      <c r="M4" t="s">
        <v>115</v>
      </c>
      <c r="O4" t="s">
        <v>114</v>
      </c>
      <c r="P4" s="1"/>
      <c r="Q4" s="4" t="s">
        <v>21</v>
      </c>
      <c r="R4" t="s">
        <v>32</v>
      </c>
      <c r="S4" t="s">
        <v>34</v>
      </c>
      <c r="U4" s="4" t="s">
        <v>8</v>
      </c>
      <c r="V4" t="s">
        <v>98</v>
      </c>
      <c r="X4" t="s">
        <v>126</v>
      </c>
      <c r="Y4" t="s">
        <v>135</v>
      </c>
      <c r="Z4" t="s">
        <v>134</v>
      </c>
      <c r="AA4" t="s">
        <v>104</v>
      </c>
      <c r="AB4" t="s">
        <v>260</v>
      </c>
      <c r="AC4" t="s">
        <v>115</v>
      </c>
      <c r="AE4" t="s">
        <v>114</v>
      </c>
      <c r="AF4" s="1"/>
      <c r="AG4" s="4" t="s">
        <v>21</v>
      </c>
      <c r="AH4" t="s">
        <v>32</v>
      </c>
      <c r="AI4" t="s">
        <v>34</v>
      </c>
      <c r="AK4" s="4" t="s">
        <v>8</v>
      </c>
      <c r="AL4" t="s">
        <v>98</v>
      </c>
      <c r="AN4" t="s">
        <v>126</v>
      </c>
      <c r="AO4" t="s">
        <v>135</v>
      </c>
      <c r="AP4" t="s">
        <v>134</v>
      </c>
      <c r="AQ4" t="s">
        <v>104</v>
      </c>
      <c r="AR4" t="s">
        <v>260</v>
      </c>
      <c r="AS4" t="s">
        <v>115</v>
      </c>
      <c r="AU4" t="s">
        <v>114</v>
      </c>
      <c r="AV4" s="1"/>
      <c r="AW4" s="4" t="s">
        <v>21</v>
      </c>
      <c r="AX4" t="s">
        <v>32</v>
      </c>
      <c r="AY4" t="s">
        <v>34</v>
      </c>
      <c r="BA4" s="4" t="s">
        <v>8</v>
      </c>
      <c r="BB4" t="s">
        <v>98</v>
      </c>
      <c r="BD4" t="s">
        <v>126</v>
      </c>
      <c r="BE4" t="s">
        <v>135</v>
      </c>
      <c r="BF4" t="s">
        <v>134</v>
      </c>
      <c r="BG4" t="s">
        <v>104</v>
      </c>
      <c r="BH4" t="s">
        <v>260</v>
      </c>
      <c r="BI4" t="s">
        <v>115</v>
      </c>
      <c r="BK4" t="s">
        <v>114</v>
      </c>
      <c r="BL4" s="1"/>
    </row>
    <row r="5" spans="1:64">
      <c r="A5" s="1"/>
      <c r="B5" s="4" t="s">
        <v>23</v>
      </c>
      <c r="C5" s="9">
        <v>70</v>
      </c>
      <c r="D5" s="9">
        <f>C5*B$3</f>
        <v>420</v>
      </c>
      <c r="F5" s="4" t="s">
        <v>9</v>
      </c>
      <c r="G5" s="7">
        <v>85.824678000000006</v>
      </c>
      <c r="H5" s="20">
        <f>(G5-'0. Current system'!$G5)/'0. Current system'!$G5</f>
        <v>-0.57537703803273943</v>
      </c>
      <c r="I5" s="7">
        <f>G5+N16*O16/N32/1000</f>
        <v>88.539827366914466</v>
      </c>
      <c r="K5" s="39">
        <f>(I5*N32+N16*O16/1000+J13)/N32</f>
        <v>117.25109124675129</v>
      </c>
      <c r="L5" s="20">
        <f>(K5-'0. Current system'!$G5)/'0. Current system'!$G5</f>
        <v>-0.41989289305473348</v>
      </c>
      <c r="M5" s="4" t="s">
        <v>83</v>
      </c>
      <c r="N5" t="s">
        <v>32</v>
      </c>
      <c r="P5" s="1"/>
      <c r="Q5" s="4" t="s">
        <v>23</v>
      </c>
      <c r="R5" s="9">
        <v>70</v>
      </c>
      <c r="S5" s="9">
        <f>R5*Q$3</f>
        <v>420</v>
      </c>
      <c r="U5" s="4" t="s">
        <v>9</v>
      </c>
      <c r="V5" s="7">
        <v>85.824410999999998</v>
      </c>
      <c r="W5" s="20">
        <f>(V5-'0. Current system'!$G5)/'0. Current system'!$G5</f>
        <v>-0.57537835903193801</v>
      </c>
      <c r="X5" s="7">
        <f>V5+AD16*AE16/AD32/1000</f>
        <v>91.254692859534089</v>
      </c>
      <c r="Z5" s="39">
        <f>(X5*AD32+AD16*AE16/1000+Y13)/AD32</f>
        <v>120.34891602757898</v>
      </c>
      <c r="AA5" s="20">
        <f>(Z5-'0. Current system'!$G5)/'0. Current system'!$G5</f>
        <v>-0.40456621121049013</v>
      </c>
      <c r="AB5" s="20">
        <f>(Z5-'3. Battery and H2, no diesel'!$Z5)/'3. Battery and H2, no diesel'!$Z5</f>
        <v>0.30160718654979557</v>
      </c>
      <c r="AC5" s="4" t="s">
        <v>83</v>
      </c>
      <c r="AD5" t="s">
        <v>32</v>
      </c>
      <c r="AF5" s="1"/>
      <c r="AG5" s="4" t="s">
        <v>23</v>
      </c>
      <c r="AH5" s="9">
        <v>70</v>
      </c>
      <c r="AI5" s="9">
        <f>AH5*AG$3</f>
        <v>420</v>
      </c>
      <c r="AK5" s="4" t="s">
        <v>9</v>
      </c>
      <c r="AL5" s="7">
        <v>76.311119000000005</v>
      </c>
      <c r="AM5" s="20">
        <f>(AL5-'0. Current system'!$G5)/'0. Current system'!$G5</f>
        <v>-0.62244596617285197</v>
      </c>
      <c r="AN5" s="7">
        <f>AL5+AT16*AU16/AT32/1000</f>
        <v>80.031438739310801</v>
      </c>
      <c r="AP5" s="39">
        <f>(AN5*AT32+AT16*AU16/1000+AO13)/AT32</f>
        <v>135.75306752448509</v>
      </c>
      <c r="AQ5" s="20">
        <f>(AP5-'0. Current system'!$G5)/'0. Current system'!$G5</f>
        <v>-0.32835320828831566</v>
      </c>
      <c r="AR5" s="20">
        <f>(AP5-'3. Battery and H2, no diesel'!$Z5)/'3. Battery and H2, no diesel'!$Z5</f>
        <v>0.46820739328934047</v>
      </c>
      <c r="AS5" s="4" t="s">
        <v>83</v>
      </c>
      <c r="AT5" t="s">
        <v>32</v>
      </c>
      <c r="AV5" s="1"/>
      <c r="AW5" s="4" t="s">
        <v>23</v>
      </c>
      <c r="AX5" s="9">
        <v>70</v>
      </c>
      <c r="AY5" s="9">
        <f>AX5*AW$3</f>
        <v>420</v>
      </c>
      <c r="BA5" s="4" t="s">
        <v>9</v>
      </c>
      <c r="BB5" s="7">
        <v>78.124756000000005</v>
      </c>
      <c r="BC5" s="20">
        <f>(BB5-'0. Current system'!$G5)/'0. Current system'!$G5</f>
        <v>-0.6134728836886576</v>
      </c>
      <c r="BD5" s="7">
        <f>BB5+BJ16*BK16/BJ32/1000</f>
        <v>85.322855900488406</v>
      </c>
      <c r="BF5" s="39">
        <f>(BD5*BJ32+BJ16*BK16/1000+BE13)/BJ32</f>
        <v>140.31298347230845</v>
      </c>
      <c r="BG5" s="20">
        <f>(BF5-'0. Current system'!$G5)/'0. Current system'!$G5</f>
        <v>-0.30579273895469927</v>
      </c>
      <c r="BH5" s="20">
        <f>(BF5-'3. Battery and H2, no diesel'!$Z5)/'3. Battery and H2, no diesel'!$Z5</f>
        <v>0.51752415960229836</v>
      </c>
      <c r="BI5" s="4" t="s">
        <v>83</v>
      </c>
      <c r="BJ5" t="s">
        <v>32</v>
      </c>
      <c r="BL5" s="1"/>
    </row>
    <row r="6" spans="1:64">
      <c r="A6" s="1"/>
      <c r="B6" s="4" t="s">
        <v>29</v>
      </c>
      <c r="C6" s="9">
        <v>200</v>
      </c>
      <c r="D6" s="9">
        <f t="shared" ref="D6:D14" si="0">C6*B$3</f>
        <v>1200</v>
      </c>
      <c r="F6" s="4" t="s">
        <v>11</v>
      </c>
      <c r="G6" s="7">
        <v>62.519409000000003</v>
      </c>
      <c r="H6" s="20">
        <f>(G6-'0. Current system'!$G6)/'0. Current system'!$G6</f>
        <v>-0.66122492406749822</v>
      </c>
      <c r="I6" s="7">
        <f>G6+(N14*O14+N15*O15)/N33/1000</f>
        <v>66.96483488286276</v>
      </c>
      <c r="K6" s="39">
        <f>(I6*N33+J10+J14)/N33</f>
        <v>86.621621656396414</v>
      </c>
      <c r="L6" s="20">
        <f>(K6-'0. Current system'!$G6)/'0. Current system'!$G6</f>
        <v>-0.53062181931306895</v>
      </c>
      <c r="M6" s="4" t="s">
        <v>84</v>
      </c>
      <c r="N6" s="7">
        <v>0</v>
      </c>
      <c r="O6">
        <v>64557</v>
      </c>
      <c r="P6" s="1"/>
      <c r="Q6" s="4" t="s">
        <v>29</v>
      </c>
      <c r="R6" s="9">
        <v>200</v>
      </c>
      <c r="S6" s="9">
        <f t="shared" ref="S6:S14" si="1">R6*Q$3</f>
        <v>1200</v>
      </c>
      <c r="U6" s="4" t="s">
        <v>11</v>
      </c>
      <c r="V6" s="7">
        <v>62.597493999999998</v>
      </c>
      <c r="W6" s="20">
        <f>(V6-'0. Current system'!$G6)/'0. Current system'!$G6</f>
        <v>-0.66080180343620443</v>
      </c>
      <c r="X6" s="7">
        <f>V6+(AD14*AE14+AD15*AE15)/AD33/1000</f>
        <v>71.280207375217884</v>
      </c>
      <c r="Z6" s="39">
        <f>(X6*AD33+Y10+Y14)/AD33</f>
        <v>79.410709565412631</v>
      </c>
      <c r="AA6" s="20">
        <f>(Z6-'0. Current system'!$G6)/'0. Current system'!$G6</f>
        <v>-0.56969572180574335</v>
      </c>
      <c r="AB6" s="20">
        <f>(Z6-'3. Battery and H2, no diesel'!$Z6)/'3. Battery and H2, no diesel'!$Z6</f>
        <v>-1.1711818868809959E-2</v>
      </c>
      <c r="AC6" s="4" t="s">
        <v>84</v>
      </c>
      <c r="AD6" s="7">
        <v>0</v>
      </c>
      <c r="AE6">
        <f>2*O6</f>
        <v>129114</v>
      </c>
      <c r="AF6" s="1"/>
      <c r="AG6" s="4" t="s">
        <v>29</v>
      </c>
      <c r="AH6" s="9">
        <v>200</v>
      </c>
      <c r="AI6" s="9">
        <f t="shared" ref="AI6:AI14" si="2">AH6*AG$3</f>
        <v>1200</v>
      </c>
      <c r="AK6" s="4" t="s">
        <v>11</v>
      </c>
      <c r="AL6" s="7">
        <v>78.263858999999997</v>
      </c>
      <c r="AM6" s="20">
        <f>(AL6-'0. Current system'!$G6)/'0. Current system'!$G6</f>
        <v>-0.57591018214046752</v>
      </c>
      <c r="AN6" s="7">
        <f>AL6+(AT14*AU14+AT15*AU15)/AT33/1000</f>
        <v>85.362833094426804</v>
      </c>
      <c r="AP6" s="39">
        <f>(AN6*AT33+AO10+AO14)/AT33</f>
        <v>123.38521192895608</v>
      </c>
      <c r="AQ6" s="20">
        <f>(AP6-'0. Current system'!$G6)/'0. Current system'!$G6</f>
        <v>-0.33141027388502781</v>
      </c>
      <c r="AR6" s="20">
        <f>(AP6-'3. Battery and H2, no diesel'!$Z6)/'3. Battery and H2, no diesel'!$Z6</f>
        <v>0.53556299072367819</v>
      </c>
      <c r="AS6" s="4" t="s">
        <v>84</v>
      </c>
      <c r="AT6" s="7">
        <v>0</v>
      </c>
      <c r="AU6">
        <v>64557</v>
      </c>
      <c r="AV6" s="1"/>
      <c r="AW6" s="4" t="s">
        <v>29</v>
      </c>
      <c r="AX6" s="9">
        <v>200</v>
      </c>
      <c r="AY6" s="9">
        <f t="shared" ref="AY6:AY14" si="3">AX6*AW$3</f>
        <v>1200</v>
      </c>
      <c r="BA6" s="4" t="s">
        <v>11</v>
      </c>
      <c r="BB6" s="7">
        <v>71.068039999999996</v>
      </c>
      <c r="BC6" s="20">
        <f>(BB6-'0. Current system'!$G6)/'0. Current system'!$G6</f>
        <v>-0.61490229942234298</v>
      </c>
      <c r="BD6" s="7">
        <f>BB6+(BJ14*BK14+BJ15*BK15)/BJ33/1000</f>
        <v>79.770502963390754</v>
      </c>
      <c r="BF6" s="39">
        <f>(BD6*BJ33+BE10+BE14)/BJ33</f>
        <v>108.59012478657964</v>
      </c>
      <c r="BG6" s="20">
        <f>(BF6-'0. Current system'!$G6)/'0. Current system'!$G6</f>
        <v>-0.41158068576602558</v>
      </c>
      <c r="BH6" s="20">
        <f>(BF6-'3. Battery and H2, no diesel'!$Z6)/'3. Battery and H2, no diesel'!$Z6</f>
        <v>0.35143405091648106</v>
      </c>
      <c r="BI6" s="4" t="s">
        <v>84</v>
      </c>
      <c r="BJ6" s="7">
        <v>0</v>
      </c>
      <c r="BK6">
        <f>2*AU6</f>
        <v>129114</v>
      </c>
      <c r="BL6" s="1"/>
    </row>
    <row r="7" spans="1:64">
      <c r="A7" s="1"/>
      <c r="B7" s="4" t="s">
        <v>26</v>
      </c>
      <c r="C7" s="9">
        <v>0</v>
      </c>
      <c r="D7" s="9">
        <f t="shared" si="0"/>
        <v>0</v>
      </c>
      <c r="F7" s="4" t="s">
        <v>12</v>
      </c>
      <c r="G7" s="7">
        <v>111.57970299999999</v>
      </c>
      <c r="H7" s="20">
        <f>(G7-'0. Current system'!$G7)/'0. Current system'!$G7</f>
        <v>-0.13415369708276381</v>
      </c>
      <c r="L7" s="20"/>
      <c r="M7" s="4" t="s">
        <v>85</v>
      </c>
      <c r="N7" s="7">
        <v>0</v>
      </c>
      <c r="O7">
        <v>43038</v>
      </c>
      <c r="P7" s="1"/>
      <c r="Q7" s="4" t="s">
        <v>26</v>
      </c>
      <c r="R7" s="9">
        <v>0</v>
      </c>
      <c r="S7" s="9">
        <f t="shared" si="1"/>
        <v>0</v>
      </c>
      <c r="U7" s="4" t="s">
        <v>12</v>
      </c>
      <c r="V7" s="7">
        <v>111.57970299999999</v>
      </c>
      <c r="W7" s="20">
        <f>(V7-'0. Current system'!$G7)/'0. Current system'!$G7</f>
        <v>-0.13415369708276381</v>
      </c>
      <c r="Z7" s="62">
        <f>V7</f>
        <v>111.57970299999999</v>
      </c>
      <c r="AA7" s="20">
        <f>(Z7-'0. Current system'!$G7)/'0. Current system'!$G7</f>
        <v>-0.13415369708276381</v>
      </c>
      <c r="AB7" s="20">
        <f>(Z7-'3. Battery and H2, no diesel'!$Z7)/'3. Battery and H2, no diesel'!$Z7</f>
        <v>0</v>
      </c>
      <c r="AC7" s="4" t="s">
        <v>85</v>
      </c>
      <c r="AD7" s="7">
        <v>0</v>
      </c>
      <c r="AE7">
        <f t="shared" ref="AE7:AE16" si="4">2*O7</f>
        <v>86076</v>
      </c>
      <c r="AF7" s="1"/>
      <c r="AG7" s="4" t="s">
        <v>26</v>
      </c>
      <c r="AH7" s="9">
        <v>0</v>
      </c>
      <c r="AI7" s="9">
        <f t="shared" si="2"/>
        <v>0</v>
      </c>
      <c r="AK7" s="4" t="s">
        <v>12</v>
      </c>
      <c r="AL7" s="7">
        <v>111.57970299999999</v>
      </c>
      <c r="AM7" s="20">
        <f>(AL7-'0. Current system'!$G7)/'0. Current system'!$G7</f>
        <v>-0.13415369708276381</v>
      </c>
      <c r="AP7" s="62">
        <f>AL7</f>
        <v>111.57970299999999</v>
      </c>
      <c r="AQ7" s="20">
        <f>(AP7-'0. Current system'!$G7)/'0. Current system'!$G7</f>
        <v>-0.13415369708276381</v>
      </c>
      <c r="AR7" s="20">
        <f>(AP7-'3. Battery and H2, no diesel'!$Z7)/'3. Battery and H2, no diesel'!$Z7</f>
        <v>0</v>
      </c>
      <c r="AS7" s="4" t="s">
        <v>85</v>
      </c>
      <c r="AT7" s="7">
        <v>0</v>
      </c>
      <c r="AU7">
        <v>43038</v>
      </c>
      <c r="AV7" s="1"/>
      <c r="AW7" s="4" t="s">
        <v>26</v>
      </c>
      <c r="AX7" s="9">
        <v>0</v>
      </c>
      <c r="AY7" s="9">
        <f t="shared" si="3"/>
        <v>0</v>
      </c>
      <c r="BA7" s="4" t="s">
        <v>12</v>
      </c>
      <c r="BB7" s="7">
        <v>111.57970299999999</v>
      </c>
      <c r="BC7" s="20">
        <f>(BB7-'0. Current system'!$G7)/'0. Current system'!$G7</f>
        <v>-0.13415369708276381</v>
      </c>
      <c r="BF7" s="62">
        <f>BB7</f>
        <v>111.57970299999999</v>
      </c>
      <c r="BG7" s="20">
        <f>(BF7-'0. Current system'!$G7)/'0. Current system'!$G7</f>
        <v>-0.13415369708276381</v>
      </c>
      <c r="BH7" s="20">
        <f>(BF7-'3. Battery and H2, no diesel'!$Z7)/'3. Battery and H2, no diesel'!$Z7</f>
        <v>0</v>
      </c>
      <c r="BI7" s="4" t="s">
        <v>85</v>
      </c>
      <c r="BJ7" s="7">
        <v>0</v>
      </c>
      <c r="BK7">
        <f t="shared" ref="BK7:BK16" si="5">2*AU7</f>
        <v>86076</v>
      </c>
      <c r="BL7" s="1"/>
    </row>
    <row r="8" spans="1:64">
      <c r="A8" s="1"/>
      <c r="B8" s="4" t="s">
        <v>25</v>
      </c>
      <c r="C8" s="9">
        <v>320</v>
      </c>
      <c r="D8" s="9">
        <f t="shared" si="0"/>
        <v>1920</v>
      </c>
      <c r="F8" s="4" t="s">
        <v>13</v>
      </c>
      <c r="G8" s="7">
        <v>110.96924</v>
      </c>
      <c r="H8" s="20">
        <f>(G8-'0. Current system'!$G8)/'0. Current system'!$G8</f>
        <v>-0.3538016165994588</v>
      </c>
      <c r="K8" s="7"/>
      <c r="L8" s="20"/>
      <c r="M8" s="4" t="s">
        <v>86</v>
      </c>
      <c r="N8" s="7">
        <v>0</v>
      </c>
      <c r="O8">
        <v>73324</v>
      </c>
      <c r="P8" s="1"/>
      <c r="Q8" s="4" t="s">
        <v>25</v>
      </c>
      <c r="R8" s="9">
        <v>320</v>
      </c>
      <c r="S8" s="9">
        <f t="shared" si="1"/>
        <v>1920</v>
      </c>
      <c r="U8" s="4" t="s">
        <v>13</v>
      </c>
      <c r="V8" s="7">
        <v>110.96924</v>
      </c>
      <c r="W8" s="20">
        <f>(V8-'0. Current system'!$G8)/'0. Current system'!$G8</f>
        <v>-0.3538016165994588</v>
      </c>
      <c r="Z8" s="62">
        <f>V8</f>
        <v>110.96924</v>
      </c>
      <c r="AA8" s="20">
        <f>(Z8-'0. Current system'!$G8)/'0. Current system'!$G8</f>
        <v>-0.3538016165994588</v>
      </c>
      <c r="AB8" s="20">
        <f>(Z8-'3. Battery and H2, no diesel'!$Z8)/'3. Battery and H2, no diesel'!$Z8</f>
        <v>0.11697045662864201</v>
      </c>
      <c r="AC8" s="4" t="s">
        <v>86</v>
      </c>
      <c r="AD8" s="7">
        <v>0</v>
      </c>
      <c r="AE8">
        <f t="shared" si="4"/>
        <v>146648</v>
      </c>
      <c r="AF8" s="1"/>
      <c r="AG8" s="4" t="s">
        <v>25</v>
      </c>
      <c r="AH8" s="9">
        <v>320</v>
      </c>
      <c r="AI8" s="9">
        <f t="shared" si="2"/>
        <v>1920</v>
      </c>
      <c r="AK8" s="4" t="s">
        <v>13</v>
      </c>
      <c r="AL8" s="7">
        <v>108.143157</v>
      </c>
      <c r="AM8" s="20">
        <f>(AL8-'0. Current system'!$G8)/'0. Current system'!$G8</f>
        <v>-0.37025852182793251</v>
      </c>
      <c r="AP8" s="62">
        <f>AL8</f>
        <v>108.143157</v>
      </c>
      <c r="AQ8" s="20">
        <f>(AP8-'0. Current system'!$G8)/'0. Current system'!$G8</f>
        <v>-0.37025852182793251</v>
      </c>
      <c r="AR8" s="20">
        <f>(AP8-'3. Battery and H2, no diesel'!$Z8)/'3. Battery and H2, no diesel'!$Z8</f>
        <v>8.8524274434545344E-2</v>
      </c>
      <c r="AS8" s="4" t="s">
        <v>86</v>
      </c>
      <c r="AT8" s="7">
        <v>0</v>
      </c>
      <c r="AU8">
        <v>73324</v>
      </c>
      <c r="AV8" s="1"/>
      <c r="AW8" s="4" t="s">
        <v>25</v>
      </c>
      <c r="AX8" s="9">
        <v>320</v>
      </c>
      <c r="AY8" s="9">
        <f t="shared" si="3"/>
        <v>1920</v>
      </c>
      <c r="BA8" s="4" t="s">
        <v>13</v>
      </c>
      <c r="BB8" s="7">
        <v>108.143157</v>
      </c>
      <c r="BC8" s="20">
        <f>(BB8-'0. Current system'!$G8)/'0. Current system'!$G8</f>
        <v>-0.37025852182793251</v>
      </c>
      <c r="BF8" s="62">
        <f>BB8</f>
        <v>108.143157</v>
      </c>
      <c r="BG8" s="20">
        <f>(BF8-'0. Current system'!$G8)/'0. Current system'!$G8</f>
        <v>-0.37025852182793251</v>
      </c>
      <c r="BH8" s="20">
        <f>(BF8-'3. Battery and H2, no diesel'!$Z8)/'3. Battery and H2, no diesel'!$Z8</f>
        <v>8.8524274434545344E-2</v>
      </c>
      <c r="BI8" s="4" t="s">
        <v>86</v>
      </c>
      <c r="BJ8" s="7">
        <v>0</v>
      </c>
      <c r="BK8">
        <f t="shared" si="5"/>
        <v>146648</v>
      </c>
      <c r="BL8" s="1"/>
    </row>
    <row r="9" spans="1:64">
      <c r="A9" s="1"/>
      <c r="B9" s="4" t="s">
        <v>31</v>
      </c>
      <c r="C9" s="9">
        <v>45</v>
      </c>
      <c r="D9" s="9">
        <f t="shared" si="0"/>
        <v>270</v>
      </c>
      <c r="F9" s="4" t="s">
        <v>14</v>
      </c>
      <c r="G9" s="7">
        <v>88.133584999999997</v>
      </c>
      <c r="H9" s="20">
        <f>(G9-'0. Current system'!$G9)/'0. Current system'!$G9</f>
        <v>-0.56296099992954995</v>
      </c>
      <c r="J9" s="9"/>
      <c r="K9" s="7"/>
      <c r="L9" s="20"/>
      <c r="M9" s="4" t="s">
        <v>87</v>
      </c>
      <c r="N9" s="19">
        <v>0</v>
      </c>
      <c r="O9">
        <v>76512</v>
      </c>
      <c r="P9" s="1"/>
      <c r="Q9" s="4" t="s">
        <v>31</v>
      </c>
      <c r="R9" s="9">
        <v>45</v>
      </c>
      <c r="S9" s="9">
        <f t="shared" si="1"/>
        <v>270</v>
      </c>
      <c r="U9" s="4" t="s">
        <v>14</v>
      </c>
      <c r="V9" s="7">
        <v>88.133584999999997</v>
      </c>
      <c r="W9" s="20">
        <f>(V9-'0. Current system'!$G9)/'0. Current system'!$G9</f>
        <v>-0.56296099992954995</v>
      </c>
      <c r="Y9" s="9"/>
      <c r="Z9" s="62">
        <f>V9</f>
        <v>88.133584999999997</v>
      </c>
      <c r="AA9" s="20">
        <f>(Z9-'0. Current system'!$G9)/'0. Current system'!$G9</f>
        <v>-0.56296099992954995</v>
      </c>
      <c r="AB9" s="20">
        <f>(Z9-'3. Battery and H2, no diesel'!$Z9)/'3. Battery and H2, no diesel'!$Z9</f>
        <v>-6.5337503550063954E-3</v>
      </c>
      <c r="AC9" s="4" t="s">
        <v>87</v>
      </c>
      <c r="AD9" s="19">
        <v>0</v>
      </c>
      <c r="AE9">
        <f t="shared" si="4"/>
        <v>153024</v>
      </c>
      <c r="AF9" s="1"/>
      <c r="AG9" s="4" t="s">
        <v>31</v>
      </c>
      <c r="AH9" s="9">
        <v>45</v>
      </c>
      <c r="AI9" s="9">
        <f t="shared" si="2"/>
        <v>270</v>
      </c>
      <c r="AK9" s="4" t="s">
        <v>14</v>
      </c>
      <c r="AL9" s="7">
        <v>100.77789</v>
      </c>
      <c r="AM9" s="20">
        <f>(AL9-'0. Current system'!$G9)/'0. Current system'!$G9</f>
        <v>-0.50026010771251617</v>
      </c>
      <c r="AO9" s="9"/>
      <c r="AP9" s="62">
        <f>AL9</f>
        <v>100.77789</v>
      </c>
      <c r="AQ9" s="20">
        <f>(AP9-'0. Current system'!$G9)/'0. Current system'!$G9</f>
        <v>-0.50026010771251617</v>
      </c>
      <c r="AR9" s="20">
        <f>(AP9-'3. Battery and H2, no diesel'!$Z9)/'3. Battery and H2, no diesel'!$Z9</f>
        <v>0.13599636762121622</v>
      </c>
      <c r="AS9" s="4" t="s">
        <v>87</v>
      </c>
      <c r="AT9" s="19">
        <v>0</v>
      </c>
      <c r="AU9">
        <v>76512</v>
      </c>
      <c r="AV9" s="1"/>
      <c r="AW9" s="4" t="s">
        <v>31</v>
      </c>
      <c r="AX9" s="9">
        <v>45</v>
      </c>
      <c r="AY9" s="9">
        <f t="shared" si="3"/>
        <v>270</v>
      </c>
      <c r="BA9" s="4" t="s">
        <v>14</v>
      </c>
      <c r="BB9" s="7">
        <v>100.77789</v>
      </c>
      <c r="BC9" s="20">
        <f>(BB9-'0. Current system'!$G9)/'0. Current system'!$G9</f>
        <v>-0.50026010771251617</v>
      </c>
      <c r="BE9" s="9"/>
      <c r="BF9" s="62">
        <f>BB9</f>
        <v>100.77789</v>
      </c>
      <c r="BG9" s="20">
        <f>(BF9-'0. Current system'!$G9)/'0. Current system'!$G9</f>
        <v>-0.50026010771251617</v>
      </c>
      <c r="BH9" s="20">
        <f>(BF9-'3. Battery and H2, no diesel'!$Z9)/'3. Battery and H2, no diesel'!$Z9</f>
        <v>0.13599636762121622</v>
      </c>
      <c r="BI9" s="4" t="s">
        <v>87</v>
      </c>
      <c r="BJ9" s="19">
        <v>0</v>
      </c>
      <c r="BK9">
        <f t="shared" si="5"/>
        <v>153024</v>
      </c>
      <c r="BL9" s="1"/>
    </row>
    <row r="10" spans="1:64">
      <c r="A10" s="1"/>
      <c r="B10" s="4" t="s">
        <v>28</v>
      </c>
      <c r="C10" s="9">
        <v>75</v>
      </c>
      <c r="D10" s="9">
        <f t="shared" si="0"/>
        <v>450</v>
      </c>
      <c r="F10" s="4" t="s">
        <v>15</v>
      </c>
      <c r="G10" s="7">
        <v>140.80880500000001</v>
      </c>
      <c r="H10" s="20">
        <f>(G10-'0. Current system'!$G10)/'0. Current system'!$G10</f>
        <v>-0.30114585457454862</v>
      </c>
      <c r="J10" s="50">
        <f>G10*N37-'2''. Storage - some with diesel'!$G10*'2''. Storage - some with diesel'!$AP37</f>
        <v>17388.485591590739</v>
      </c>
      <c r="K10" s="40">
        <f>(G10*N37-J10)/'2''. Storage - some with diesel'!$AP37</f>
        <v>93.748254000000003</v>
      </c>
      <c r="L10" s="20">
        <f>(K10-'0. Current system'!$G10)/'0. Current system'!$G10</f>
        <v>-0.53471406895117002</v>
      </c>
      <c r="M10" s="4" t="s">
        <v>88</v>
      </c>
      <c r="N10" s="19">
        <v>0</v>
      </c>
      <c r="O10">
        <v>74918</v>
      </c>
      <c r="P10" s="1"/>
      <c r="Q10" s="4" t="s">
        <v>28</v>
      </c>
      <c r="R10" s="9">
        <v>75</v>
      </c>
      <c r="S10" s="9">
        <f t="shared" si="1"/>
        <v>450</v>
      </c>
      <c r="U10" s="4" t="s">
        <v>15</v>
      </c>
      <c r="V10" s="7">
        <v>143.072228</v>
      </c>
      <c r="W10" s="20">
        <f>(V10-'0. Current system'!$G10)/'0. Current system'!$G10</f>
        <v>-0.28991216399389708</v>
      </c>
      <c r="Y10" s="50">
        <f>V10*AD37-'2''. Storage - some with diesel'!$AK10*'2''. Storage - some with diesel'!$AP37</f>
        <v>6515.3907889734401</v>
      </c>
      <c r="Z10" s="40">
        <f>(V10*AD37-Y10)/'2''. Storage - some with diesel'!$AP37</f>
        <v>118.570806</v>
      </c>
      <c r="AA10" s="20">
        <f>(Z10-'0. Current system'!$G10)/'0. Current system'!$G10</f>
        <v>-0.41151620951873724</v>
      </c>
      <c r="AB10" s="20">
        <f>(Z10-'3. Battery and H2, no diesel'!$Z10)/'3. Battery and H2, no diesel'!$Z10</f>
        <v>0.46448658379090052</v>
      </c>
      <c r="AC10" s="4" t="s">
        <v>88</v>
      </c>
      <c r="AD10" s="19">
        <v>0</v>
      </c>
      <c r="AE10">
        <f t="shared" si="4"/>
        <v>149836</v>
      </c>
      <c r="AF10" s="1"/>
      <c r="AG10" s="4" t="s">
        <v>28</v>
      </c>
      <c r="AH10" s="9">
        <v>75</v>
      </c>
      <c r="AI10" s="9">
        <f t="shared" si="2"/>
        <v>450</v>
      </c>
      <c r="AK10" s="4" t="s">
        <v>15</v>
      </c>
      <c r="AL10" s="7">
        <v>95.082187000000005</v>
      </c>
      <c r="AM10" s="20">
        <f>(AL10-'0. Current system'!$G10)/'0. Current system'!$G10</f>
        <v>-0.52809356956713072</v>
      </c>
      <c r="AO10" s="50">
        <f>AL10*AT37-'2''. Storage - some with diesel'!$BE10*'2''. Storage - some with diesel'!$AP37</f>
        <v>23106.461557709394</v>
      </c>
      <c r="AP10" s="40">
        <f>(AL10*AT37-AO10)/'2''. Storage - some with diesel'!$AP37</f>
        <v>109.42007700000001</v>
      </c>
      <c r="AQ10" s="20">
        <f>(AP10-'0. Current system'!$G10)/'0. Current system'!$G10</f>
        <v>-0.45693258028699207</v>
      </c>
      <c r="AR10" s="20">
        <f>(AP10-'3. Battery and H2, no diesel'!$Z10)/'3. Battery and H2, no diesel'!$Z10</f>
        <v>0.3514644976257249</v>
      </c>
      <c r="AS10" s="4" t="s">
        <v>88</v>
      </c>
      <c r="AT10" s="19">
        <v>0</v>
      </c>
      <c r="AU10">
        <v>74918</v>
      </c>
      <c r="AV10" s="1"/>
      <c r="AW10" s="4" t="s">
        <v>28</v>
      </c>
      <c r="AX10" s="9">
        <v>75</v>
      </c>
      <c r="AY10" s="9">
        <f t="shared" si="3"/>
        <v>450</v>
      </c>
      <c r="BA10" s="4" t="s">
        <v>15</v>
      </c>
      <c r="BB10" s="7">
        <v>112.593999</v>
      </c>
      <c r="BC10" s="20">
        <f>(BB10-'0. Current system'!$G10)/'0. Current system'!$G10</f>
        <v>-0.44117995354637718</v>
      </c>
      <c r="BE10" s="50">
        <f>BB10*BJ37-'2''. Storage - some with diesel'!$BE10*'2''. Storage - some with diesel'!$AP37</f>
        <v>15633.703820100316</v>
      </c>
      <c r="BF10" s="40">
        <f>(BB10*BJ37-BE10)/'2''. Storage - some with diesel'!$AP37</f>
        <v>109.42007700000001</v>
      </c>
      <c r="BG10" s="20">
        <f>(BF10-'0. Current system'!$G10)/'0. Current system'!$G10</f>
        <v>-0.45693258028699207</v>
      </c>
      <c r="BH10" s="20">
        <f>(BF10-'3. Battery and H2, no diesel'!$Z10)/'3. Battery and H2, no diesel'!$Z10</f>
        <v>0.3514644976257249</v>
      </c>
      <c r="BI10" s="4" t="s">
        <v>88</v>
      </c>
      <c r="BJ10" s="19">
        <v>0</v>
      </c>
      <c r="BK10">
        <f t="shared" si="5"/>
        <v>149836</v>
      </c>
      <c r="BL10" s="1"/>
    </row>
    <row r="11" spans="1:64">
      <c r="A11" s="1"/>
      <c r="B11" s="4" t="s">
        <v>24</v>
      </c>
      <c r="C11" s="7">
        <v>2.3066490000000002</v>
      </c>
      <c r="D11" s="9">
        <f t="shared" si="0"/>
        <v>13.839894000000001</v>
      </c>
      <c r="F11" s="4" t="s">
        <v>16</v>
      </c>
      <c r="G11" s="7">
        <v>117.54768</v>
      </c>
      <c r="H11" s="20">
        <f>(G11-'0. Current system'!$G11)/'0. Current system'!$G11</f>
        <v>-0.38522438957696131</v>
      </c>
      <c r="J11" s="50"/>
      <c r="K11" s="7"/>
      <c r="L11" s="20"/>
      <c r="M11" s="4" t="s">
        <v>89</v>
      </c>
      <c r="N11" s="19">
        <v>0</v>
      </c>
      <c r="O11">
        <v>65354</v>
      </c>
      <c r="P11" s="1"/>
      <c r="Q11" s="4" t="s">
        <v>24</v>
      </c>
      <c r="R11" s="7">
        <v>2.3066490000000002</v>
      </c>
      <c r="S11" s="9">
        <f t="shared" si="1"/>
        <v>13.839894000000001</v>
      </c>
      <c r="U11" s="4" t="s">
        <v>16</v>
      </c>
      <c r="V11" s="7">
        <v>117.54768</v>
      </c>
      <c r="W11" s="20">
        <f>(V11-'0. Current system'!$G11)/'0. Current system'!$G11</f>
        <v>-0.38522438957696131</v>
      </c>
      <c r="Y11" s="9"/>
      <c r="Z11" s="62">
        <f>V11</f>
        <v>117.54768</v>
      </c>
      <c r="AA11" s="20">
        <f>(Z11-'0. Current system'!$G11)/'0. Current system'!$G11</f>
        <v>-0.38522438957696131</v>
      </c>
      <c r="AB11" s="20">
        <f>(Z11-'3. Battery and H2, no diesel'!$Z11)/'3. Battery and H2, no diesel'!$Z11</f>
        <v>2.6329507989663624E-2</v>
      </c>
      <c r="AC11" s="4" t="s">
        <v>89</v>
      </c>
      <c r="AD11" s="19">
        <v>0</v>
      </c>
      <c r="AE11">
        <f t="shared" si="4"/>
        <v>130708</v>
      </c>
      <c r="AF11" s="1"/>
      <c r="AG11" s="4" t="s">
        <v>24</v>
      </c>
      <c r="AH11" s="7">
        <v>2.3066490000000002</v>
      </c>
      <c r="AI11" s="9">
        <f t="shared" si="2"/>
        <v>13.839894000000001</v>
      </c>
      <c r="AK11" s="4" t="s">
        <v>16</v>
      </c>
      <c r="AL11" s="7">
        <v>117.54768</v>
      </c>
      <c r="AM11" s="20">
        <f>(AL11-'0. Current system'!$G11)/'0. Current system'!$G11</f>
        <v>-0.38522438957696131</v>
      </c>
      <c r="AO11" s="9"/>
      <c r="AP11" s="62">
        <f>AL11</f>
        <v>117.54768</v>
      </c>
      <c r="AQ11" s="20">
        <f>(AP11-'0. Current system'!$G11)/'0. Current system'!$G11</f>
        <v>-0.38522438957696131</v>
      </c>
      <c r="AR11" s="20">
        <f>(AP11-'3. Battery and H2, no diesel'!$Z11)/'3. Battery and H2, no diesel'!$Z11</f>
        <v>2.6329507989663624E-2</v>
      </c>
      <c r="AS11" s="4" t="s">
        <v>89</v>
      </c>
      <c r="AT11" s="19">
        <v>0</v>
      </c>
      <c r="AU11">
        <v>65354</v>
      </c>
      <c r="AV11" s="1"/>
      <c r="AW11" s="4" t="s">
        <v>24</v>
      </c>
      <c r="AX11" s="7">
        <v>2.3066490000000002</v>
      </c>
      <c r="AY11" s="9">
        <f t="shared" si="3"/>
        <v>13.839894000000001</v>
      </c>
      <c r="BA11" s="4" t="s">
        <v>16</v>
      </c>
      <c r="BB11" s="7">
        <v>117.54768</v>
      </c>
      <c r="BC11" s="20">
        <f>(BB11-'0. Current system'!$G11)/'0. Current system'!$G11</f>
        <v>-0.38522438957696131</v>
      </c>
      <c r="BE11" s="9"/>
      <c r="BF11" s="62">
        <f>BB11</f>
        <v>117.54768</v>
      </c>
      <c r="BG11" s="20">
        <f>(BF11-'0. Current system'!$G11)/'0. Current system'!$G11</f>
        <v>-0.38522438957696131</v>
      </c>
      <c r="BH11" s="20">
        <f>(BF11-'3. Battery and H2, no diesel'!$Z11)/'3. Battery and H2, no diesel'!$Z11</f>
        <v>2.6329507989663624E-2</v>
      </c>
      <c r="BI11" s="4" t="s">
        <v>89</v>
      </c>
      <c r="BJ11" s="19">
        <v>0</v>
      </c>
      <c r="BK11">
        <f t="shared" si="5"/>
        <v>130708</v>
      </c>
      <c r="BL11" s="1"/>
    </row>
    <row r="12" spans="1:64">
      <c r="A12" s="1"/>
      <c r="B12" s="4" t="s">
        <v>27</v>
      </c>
      <c r="C12" s="9">
        <v>250</v>
      </c>
      <c r="D12" s="9">
        <f t="shared" si="0"/>
        <v>1500</v>
      </c>
      <c r="F12" s="4" t="s">
        <v>17</v>
      </c>
      <c r="G12" s="7">
        <v>95.742017000000004</v>
      </c>
      <c r="H12" s="20">
        <f>(G12-'0. Current system'!$G12)/'0. Current system'!$G12</f>
        <v>-0.48443784955706126</v>
      </c>
      <c r="J12" s="50"/>
      <c r="K12" s="7"/>
      <c r="L12" s="20"/>
      <c r="M12" s="4" t="s">
        <v>90</v>
      </c>
      <c r="N12" s="19">
        <v>0</v>
      </c>
      <c r="O12">
        <v>35068</v>
      </c>
      <c r="P12" s="1"/>
      <c r="Q12" s="4" t="s">
        <v>27</v>
      </c>
      <c r="R12" s="9">
        <v>250</v>
      </c>
      <c r="S12" s="9">
        <f t="shared" si="1"/>
        <v>1500</v>
      </c>
      <c r="U12" s="4" t="s">
        <v>17</v>
      </c>
      <c r="V12" s="7">
        <v>95.742017000000004</v>
      </c>
      <c r="W12" s="20">
        <f>(V12-'0. Current system'!$G12)/'0. Current system'!$G12</f>
        <v>-0.48443784955706126</v>
      </c>
      <c r="Y12" s="9"/>
      <c r="Z12" s="62">
        <f>V12</f>
        <v>95.742017000000004</v>
      </c>
      <c r="AA12" s="20">
        <f>(Z12-'0. Current system'!$G12)/'0. Current system'!$G12</f>
        <v>-0.48443784955706126</v>
      </c>
      <c r="AB12" s="20">
        <f>(Z12-'3. Battery and H2, no diesel'!$Z12)/'3. Battery and H2, no diesel'!$Z12</f>
        <v>0.15509696064970158</v>
      </c>
      <c r="AC12" s="4" t="s">
        <v>90</v>
      </c>
      <c r="AD12" s="19">
        <v>0</v>
      </c>
      <c r="AE12">
        <f t="shared" si="4"/>
        <v>70136</v>
      </c>
      <c r="AF12" s="1"/>
      <c r="AG12" s="4" t="s">
        <v>27</v>
      </c>
      <c r="AH12" s="9">
        <v>250</v>
      </c>
      <c r="AI12" s="9">
        <f t="shared" si="2"/>
        <v>1500</v>
      </c>
      <c r="AK12" s="4" t="s">
        <v>17</v>
      </c>
      <c r="AL12" s="7">
        <v>98.126441999999997</v>
      </c>
      <c r="AM12" s="20">
        <f>(AL12-'0. Current system'!$G12)/'0. Current system'!$G12</f>
        <v>-0.47159793538886591</v>
      </c>
      <c r="AO12" s="9"/>
      <c r="AP12" s="62">
        <f>AL12</f>
        <v>98.126441999999997</v>
      </c>
      <c r="AQ12" s="20">
        <f>(AP12-'0. Current system'!$G12)/'0. Current system'!$G12</f>
        <v>-0.47159793538886591</v>
      </c>
      <c r="AR12" s="20">
        <f>(AP12-'3. Battery and H2, no diesel'!$Z12)/'3. Battery and H2, no diesel'!$Z12</f>
        <v>0.18386428931792001</v>
      </c>
      <c r="AS12" s="4" t="s">
        <v>90</v>
      </c>
      <c r="AT12" s="19">
        <v>0</v>
      </c>
      <c r="AU12">
        <v>35068</v>
      </c>
      <c r="AV12" s="1"/>
      <c r="AW12" s="4" t="s">
        <v>27</v>
      </c>
      <c r="AX12" s="9">
        <v>250</v>
      </c>
      <c r="AY12" s="9">
        <f t="shared" si="3"/>
        <v>1500</v>
      </c>
      <c r="BA12" s="4" t="s">
        <v>17</v>
      </c>
      <c r="BB12" s="7">
        <v>98.126441999999997</v>
      </c>
      <c r="BC12" s="20">
        <f>(BB12-'0. Current system'!$G12)/'0. Current system'!$G12</f>
        <v>-0.47159793538886591</v>
      </c>
      <c r="BE12" s="9"/>
      <c r="BF12" s="62">
        <f>BB12</f>
        <v>98.126441999999997</v>
      </c>
      <c r="BG12" s="20">
        <f>(BF12-'0. Current system'!$G12)/'0. Current system'!$G12</f>
        <v>-0.47159793538886591</v>
      </c>
      <c r="BH12" s="20">
        <f>(BF12-'3. Battery and H2, no diesel'!$Z12)/'3. Battery and H2, no diesel'!$Z12</f>
        <v>0.18386428931792001</v>
      </c>
      <c r="BI12" s="4" t="s">
        <v>90</v>
      </c>
      <c r="BJ12" s="19">
        <v>0</v>
      </c>
      <c r="BK12">
        <f t="shared" si="5"/>
        <v>70136</v>
      </c>
      <c r="BL12" s="1"/>
    </row>
    <row r="13" spans="1:64">
      <c r="A13" s="1"/>
      <c r="B13" s="4" t="s">
        <v>22</v>
      </c>
      <c r="C13" s="9">
        <v>45</v>
      </c>
      <c r="D13" s="9">
        <f t="shared" si="0"/>
        <v>270</v>
      </c>
      <c r="F13" s="4" t="s">
        <v>18</v>
      </c>
      <c r="G13" s="7">
        <v>170.06153699999999</v>
      </c>
      <c r="H13" s="20">
        <f>(G13-'0. Current system'!$G13)/'0. Current system'!$G13</f>
        <v>-0.1406047560107942</v>
      </c>
      <c r="J13" s="50">
        <f>G13*N40-'2''. Storage - some with diesel'!$G13*'2''. Storage - some with diesel'!$AP40</f>
        <v>11745.521071713451</v>
      </c>
      <c r="K13" s="40">
        <f>(G13*N40-J13)/'2''. Storage - some with diesel'!$AP40</f>
        <v>117.85174000000001</v>
      </c>
      <c r="L13" s="20">
        <f>(K13-'0. Current system'!$G13)/'0. Current system'!$G13</f>
        <v>-0.40444366998839687</v>
      </c>
      <c r="M13" s="4" t="s">
        <v>91</v>
      </c>
      <c r="N13" s="19">
        <v>0</v>
      </c>
      <c r="O13">
        <v>89264</v>
      </c>
      <c r="P13" s="1"/>
      <c r="Q13" s="4" t="s">
        <v>22</v>
      </c>
      <c r="R13" s="9">
        <v>45</v>
      </c>
      <c r="S13" s="9">
        <f t="shared" si="1"/>
        <v>270</v>
      </c>
      <c r="U13" s="4" t="s">
        <v>18</v>
      </c>
      <c r="V13" s="7">
        <v>170.06245999999999</v>
      </c>
      <c r="W13" s="20">
        <f>(V13-'0. Current system'!$G13)/'0. Current system'!$G13</f>
        <v>-0.14060009168854828</v>
      </c>
      <c r="Y13" s="50">
        <f>V13*AD40-'2''. Storage - some with diesel'!$AK13*'2''. Storage - some with diesel'!$AP40</f>
        <v>10691.83569106691</v>
      </c>
      <c r="Z13" s="40">
        <f>(V13*AD40-Y13)/'2''. Storage - some with diesel'!$AP40</f>
        <v>121.70880900000002</v>
      </c>
      <c r="AA13" s="20">
        <f>(Z13-'0. Current system'!$G13)/'0. Current system'!$G13</f>
        <v>-0.38495221523141548</v>
      </c>
      <c r="AB13" s="20">
        <f>(Z13-'3. Battery and H2, no diesel'!$Z13)/'3. Battery and H2, no diesel'!$Z13</f>
        <v>6.2334071958488807E-2</v>
      </c>
      <c r="AC13" s="4" t="s">
        <v>91</v>
      </c>
      <c r="AD13" s="19">
        <v>0</v>
      </c>
      <c r="AE13">
        <f t="shared" si="4"/>
        <v>178528</v>
      </c>
      <c r="AF13" s="1"/>
      <c r="AG13" s="4" t="s">
        <v>22</v>
      </c>
      <c r="AH13" s="9">
        <v>45</v>
      </c>
      <c r="AI13" s="9">
        <f t="shared" si="2"/>
        <v>270</v>
      </c>
      <c r="AK13" s="4" t="s">
        <v>18</v>
      </c>
      <c r="AL13" s="7">
        <v>167.32624300000001</v>
      </c>
      <c r="AM13" s="20">
        <f>(AL13-'0. Current system'!$G13)/'0. Current system'!$G13</f>
        <v>-0.15442739160482741</v>
      </c>
      <c r="AO13" s="50">
        <f>AL13*AT40-'2''. Storage - some with diesel'!$BE13*'2''. Storage - some with diesel'!$AP40</f>
        <v>20541.810397673351</v>
      </c>
      <c r="AP13" s="40">
        <f>(AL13*AT40-AO13)/'2''. Storage - some with diesel'!$AP40</f>
        <v>117.85174000000001</v>
      </c>
      <c r="AQ13" s="20">
        <f>(AP13-'0. Current system'!$G13)/'0. Current system'!$G13</f>
        <v>-0.40444366998839687</v>
      </c>
      <c r="AR13" s="20">
        <f>(AP13-'3. Battery and H2, no diesel'!$Z13)/'3. Battery and H2, no diesel'!$Z13</f>
        <v>2.8667685357048427E-2</v>
      </c>
      <c r="AS13" s="4" t="s">
        <v>91</v>
      </c>
      <c r="AT13" s="19">
        <v>0</v>
      </c>
      <c r="AU13">
        <v>89264</v>
      </c>
      <c r="AV13" s="1"/>
      <c r="AW13" s="4" t="s">
        <v>22</v>
      </c>
      <c r="AX13" s="9">
        <v>45</v>
      </c>
      <c r="AY13" s="9">
        <f t="shared" si="3"/>
        <v>270</v>
      </c>
      <c r="BA13" s="4" t="s">
        <v>18</v>
      </c>
      <c r="BB13" s="7">
        <v>167.34074899999999</v>
      </c>
      <c r="BC13" s="20">
        <f>(BB13-'0. Current system'!$G13)/'0. Current system'!$G13</f>
        <v>-0.15435408644935716</v>
      </c>
      <c r="BE13" s="50">
        <f>BB13*BJ40-'2''. Storage - some with diesel'!$BE13*'2''. Storage - some with diesel'!$AP40</f>
        <v>19249.441974381243</v>
      </c>
      <c r="BF13" s="40">
        <f>(BB13*BJ40-BE13)/'2''. Storage - some with diesel'!$AP40</f>
        <v>117.85174000000001</v>
      </c>
      <c r="BG13" s="20">
        <f>(BF13-'0. Current system'!$G13)/'0. Current system'!$G13</f>
        <v>-0.40444366998839687</v>
      </c>
      <c r="BH13" s="20">
        <f>(BF13-'3. Battery and H2, no diesel'!$Z13)/'3. Battery and H2, no diesel'!$Z13</f>
        <v>2.8667685357048427E-2</v>
      </c>
      <c r="BI13" s="4" t="s">
        <v>91</v>
      </c>
      <c r="BJ13" s="19">
        <v>0</v>
      </c>
      <c r="BK13">
        <f t="shared" si="5"/>
        <v>178528</v>
      </c>
      <c r="BL13" s="1"/>
    </row>
    <row r="14" spans="1:64">
      <c r="A14" s="1"/>
      <c r="B14" s="4" t="s">
        <v>30</v>
      </c>
      <c r="C14" s="9">
        <v>30</v>
      </c>
      <c r="D14" s="9">
        <f t="shared" si="0"/>
        <v>180</v>
      </c>
      <c r="F14" s="4" t="s">
        <v>19</v>
      </c>
      <c r="G14" s="7">
        <v>114.502758</v>
      </c>
      <c r="H14" s="20">
        <f>(G14-'0. Current system'!$G14)/'0. Current system'!$G14</f>
        <v>-0.27164101059010376</v>
      </c>
      <c r="J14" s="50">
        <f>G14*N41-'2''. Storage - some with diesel'!$G14*'2''. Storage - some with diesel'!$AP41</f>
        <v>7312.2674998578168</v>
      </c>
      <c r="K14" s="40">
        <f>(G14*N41-J14)/'2''. Storage - some with diesel'!$AP41</f>
        <v>61.815058000000001</v>
      </c>
      <c r="L14" s="20">
        <f>(K14-'0. Current system'!$G14)/'0. Current system'!$G14</f>
        <v>-0.60679066634190493</v>
      </c>
      <c r="M14" s="4" t="s">
        <v>92</v>
      </c>
      <c r="N14" s="19">
        <v>12.412195000000001</v>
      </c>
      <c r="O14">
        <v>135490</v>
      </c>
      <c r="P14" s="1"/>
      <c r="Q14" s="4" t="s">
        <v>30</v>
      </c>
      <c r="R14" s="9">
        <v>30</v>
      </c>
      <c r="S14" s="9">
        <f t="shared" si="1"/>
        <v>180</v>
      </c>
      <c r="U14" s="4" t="s">
        <v>19</v>
      </c>
      <c r="V14" s="7">
        <v>108.381629</v>
      </c>
      <c r="W14" s="20">
        <f>(V14-'0. Current system'!$G14)/'0. Current system'!$G14</f>
        <v>-0.31057788346863829</v>
      </c>
      <c r="Y14" s="50">
        <f>V14*AD41-'2''. Storage - some with diesel'!$AK14*'2''. Storage - some with diesel'!$AP41</f>
        <v>3684.7347502034572</v>
      </c>
      <c r="Z14" s="40">
        <f>(V14*AD41-Y14)/'2''. Storage - some with diesel'!$AP41</f>
        <v>77.978117999999995</v>
      </c>
      <c r="AA14" s="20">
        <f>(Z14-'0. Current system'!$G14)/'0. Current system'!$G14</f>
        <v>-0.50397646122580175</v>
      </c>
      <c r="AB14" s="20">
        <f>(Z14-'3. Battery and H2, no diesel'!$Z14)/'3. Battery and H2, no diesel'!$Z14</f>
        <v>0.30565489131089962</v>
      </c>
      <c r="AC14" s="4" t="s">
        <v>92</v>
      </c>
      <c r="AD14" s="19">
        <v>10.378353000000001</v>
      </c>
      <c r="AE14">
        <f t="shared" si="4"/>
        <v>270980</v>
      </c>
      <c r="AF14" s="1"/>
      <c r="AG14" s="4" t="s">
        <v>30</v>
      </c>
      <c r="AH14" s="9">
        <v>30</v>
      </c>
      <c r="AI14" s="9">
        <f t="shared" si="2"/>
        <v>180</v>
      </c>
      <c r="AK14" s="4" t="s">
        <v>19</v>
      </c>
      <c r="AL14" s="7">
        <v>171.490668</v>
      </c>
      <c r="AM14" s="20">
        <f>(AL14-'0. Current system'!$G14)/'0. Current system'!$G14</f>
        <v>9.0862541823735224E-2</v>
      </c>
      <c r="AO14" s="50">
        <f>AL14*AT41-'2''. Storage - some with diesel'!$BE14*'2''. Storage - some with diesel'!$AP41</f>
        <v>12315.122002538827</v>
      </c>
      <c r="AP14" s="40">
        <f>(AL14*AT41-AO14)/'2''. Storage - some with diesel'!$AP41</f>
        <v>62.356621000000004</v>
      </c>
      <c r="AQ14" s="20">
        <f>(AP14-'0. Current system'!$G14)/'0. Current system'!$G14</f>
        <v>-0.60334575124752965</v>
      </c>
      <c r="AR14" s="20">
        <f>(AP14-'3. Battery and H2, no diesel'!$Z14)/'3. Battery and H2, no diesel'!$Z14</f>
        <v>4.4090692394884078E-2</v>
      </c>
      <c r="AS14" s="4" t="s">
        <v>92</v>
      </c>
      <c r="AT14" s="19">
        <v>10.007949</v>
      </c>
      <c r="AU14">
        <v>135490</v>
      </c>
      <c r="AV14" s="1"/>
      <c r="AW14" s="4" t="s">
        <v>30</v>
      </c>
      <c r="AX14" s="9">
        <v>30</v>
      </c>
      <c r="AY14" s="9">
        <f t="shared" si="3"/>
        <v>180</v>
      </c>
      <c r="BA14" s="4" t="s">
        <v>19</v>
      </c>
      <c r="BB14" s="7">
        <v>179.14223999999999</v>
      </c>
      <c r="BC14" s="20">
        <f>(BB14-'0. Current system'!$G14)/'0. Current system'!$G14</f>
        <v>0.13953465546240451</v>
      </c>
      <c r="BE14" s="50">
        <f>BB14*BJ41-'2''. Storage - some with diesel'!$BE14*'2''. Storage - some with diesel'!$AP41</f>
        <v>16203.153639862276</v>
      </c>
      <c r="BF14" s="40">
        <f>(BB14*BJ41-BE14)/'2''. Storage - some with diesel'!$AP41</f>
        <v>62.356621000000004</v>
      </c>
      <c r="BG14" s="20">
        <f>(BF14-'0. Current system'!$G14)/'0. Current system'!$G14</f>
        <v>-0.60334575124752965</v>
      </c>
      <c r="BH14" s="20">
        <f>(BF14-'3. Battery and H2, no diesel'!$Z14)/'3. Battery and H2, no diesel'!$Z14</f>
        <v>4.4090692394884078E-2</v>
      </c>
      <c r="BI14" s="4" t="s">
        <v>92</v>
      </c>
      <c r="BJ14" s="19">
        <v>15.266356</v>
      </c>
      <c r="BK14">
        <f t="shared" si="5"/>
        <v>270980</v>
      </c>
      <c r="BL14" s="1"/>
    </row>
    <row r="15" spans="1:64">
      <c r="A15" s="1"/>
      <c r="M15" s="4" t="s">
        <v>93</v>
      </c>
      <c r="N15" s="7">
        <v>32.659153000000003</v>
      </c>
      <c r="O15">
        <v>119550</v>
      </c>
      <c r="P15" s="1"/>
      <c r="AC15" s="4" t="s">
        <v>93</v>
      </c>
      <c r="AD15" s="7">
        <v>33.795802000000002</v>
      </c>
      <c r="AE15">
        <f t="shared" si="4"/>
        <v>239100</v>
      </c>
      <c r="AF15" s="1"/>
      <c r="AS15" s="4" t="s">
        <v>93</v>
      </c>
      <c r="AT15" s="7">
        <v>43.976706</v>
      </c>
      <c r="AU15">
        <v>119550</v>
      </c>
      <c r="AV15" s="1"/>
      <c r="BI15" s="4" t="s">
        <v>93</v>
      </c>
      <c r="BJ15" s="7">
        <v>22.905394000000001</v>
      </c>
      <c r="BK15">
        <f t="shared" si="5"/>
        <v>239100</v>
      </c>
      <c r="BL15" s="1"/>
    </row>
    <row r="16" spans="1:64">
      <c r="A16" s="1"/>
      <c r="B16" t="s">
        <v>20</v>
      </c>
      <c r="C16" s="9"/>
      <c r="G16" s="7"/>
      <c r="M16" s="4" t="s">
        <v>226</v>
      </c>
      <c r="N16">
        <v>20.522864999999999</v>
      </c>
      <c r="O16">
        <v>59775</v>
      </c>
      <c r="P16" s="1"/>
      <c r="Q16" t="s">
        <v>20</v>
      </c>
      <c r="R16" s="9"/>
      <c r="V16" s="7"/>
      <c r="AC16" s="4" t="s">
        <v>226</v>
      </c>
      <c r="AD16">
        <v>20.522864999999999</v>
      </c>
      <c r="AE16">
        <f t="shared" si="4"/>
        <v>119550</v>
      </c>
      <c r="AF16" s="1"/>
      <c r="AG16" t="s">
        <v>20</v>
      </c>
      <c r="AH16" s="9"/>
      <c r="AL16" s="7"/>
      <c r="AS16" s="4" t="s">
        <v>226</v>
      </c>
      <c r="AT16">
        <v>24.585844000000002</v>
      </c>
      <c r="AU16">
        <v>59775</v>
      </c>
      <c r="AV16" s="1"/>
      <c r="AW16" t="s">
        <v>20</v>
      </c>
      <c r="AX16" s="9"/>
      <c r="BB16" s="7"/>
      <c r="BI16" s="4" t="s">
        <v>226</v>
      </c>
      <c r="BJ16">
        <v>24.251073999999999</v>
      </c>
      <c r="BK16">
        <f t="shared" si="5"/>
        <v>119550</v>
      </c>
      <c r="BL16" s="1"/>
    </row>
    <row r="17" spans="1:64" ht="29.5">
      <c r="A17" s="1"/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0"/>
      <c r="K17" s="10"/>
      <c r="L17" s="10"/>
      <c r="P17" s="1"/>
      <c r="Q17" s="2" t="s">
        <v>0</v>
      </c>
      <c r="R17" s="2" t="s">
        <v>1</v>
      </c>
      <c r="S17" s="2" t="s">
        <v>2</v>
      </c>
      <c r="T17" s="2" t="s">
        <v>3</v>
      </c>
      <c r="U17" s="2" t="s">
        <v>4</v>
      </c>
      <c r="V17" s="2" t="s">
        <v>5</v>
      </c>
      <c r="W17" s="2" t="s">
        <v>6</v>
      </c>
      <c r="X17" s="2" t="s">
        <v>7</v>
      </c>
      <c r="Y17" s="10"/>
      <c r="Z17" s="10"/>
      <c r="AA17" s="10"/>
      <c r="AB17" s="10"/>
      <c r="AF17" s="1"/>
      <c r="AG17" s="2" t="s">
        <v>0</v>
      </c>
      <c r="AH17" s="2" t="s">
        <v>1</v>
      </c>
      <c r="AI17" s="2" t="s">
        <v>2</v>
      </c>
      <c r="AJ17" s="2" t="s">
        <v>3</v>
      </c>
      <c r="AK17" s="2" t="s">
        <v>4</v>
      </c>
      <c r="AL17" s="2" t="s">
        <v>5</v>
      </c>
      <c r="AM17" s="2" t="s">
        <v>6</v>
      </c>
      <c r="AN17" s="2" t="s">
        <v>7</v>
      </c>
      <c r="AO17" s="10"/>
      <c r="AP17" s="10"/>
      <c r="AQ17" s="10"/>
      <c r="AR17" s="10"/>
      <c r="AV17" s="1"/>
      <c r="AW17" s="2" t="s">
        <v>0</v>
      </c>
      <c r="AX17" s="2" t="s">
        <v>1</v>
      </c>
      <c r="AY17" s="2" t="s">
        <v>2</v>
      </c>
      <c r="AZ17" s="2" t="s">
        <v>3</v>
      </c>
      <c r="BA17" s="2" t="s">
        <v>4</v>
      </c>
      <c r="BB17" s="2" t="s">
        <v>5</v>
      </c>
      <c r="BC17" s="2" t="s">
        <v>6</v>
      </c>
      <c r="BD17" s="2" t="s">
        <v>7</v>
      </c>
      <c r="BE17" s="10"/>
      <c r="BF17" s="10"/>
      <c r="BG17" s="10"/>
      <c r="BH17" s="10"/>
      <c r="BL17" s="1"/>
    </row>
    <row r="18" spans="1:64">
      <c r="A18" s="1"/>
      <c r="B18" s="2" t="s">
        <v>8</v>
      </c>
      <c r="C18" s="2"/>
      <c r="D18" s="2"/>
      <c r="E18" s="2"/>
      <c r="F18" s="2"/>
      <c r="G18" s="2"/>
      <c r="H18" s="2"/>
      <c r="I18" s="2"/>
      <c r="J18" s="10"/>
      <c r="K18" s="10"/>
      <c r="L18" s="10"/>
      <c r="P18" s="1"/>
      <c r="Q18" s="2" t="s">
        <v>8</v>
      </c>
      <c r="R18" s="2"/>
      <c r="S18" s="2"/>
      <c r="T18" s="2"/>
      <c r="U18" s="2"/>
      <c r="V18" s="2"/>
      <c r="W18" s="2"/>
      <c r="X18" s="2"/>
      <c r="Y18" s="10"/>
      <c r="Z18" s="10"/>
      <c r="AA18" s="10"/>
      <c r="AB18" s="10"/>
      <c r="AF18" s="1"/>
      <c r="AG18" s="2" t="s">
        <v>8</v>
      </c>
      <c r="AH18" s="2"/>
      <c r="AI18" s="2"/>
      <c r="AJ18" s="2"/>
      <c r="AK18" s="2"/>
      <c r="AL18" s="2"/>
      <c r="AM18" s="2"/>
      <c r="AN18" s="2"/>
      <c r="AO18" s="10"/>
      <c r="AP18" s="10"/>
      <c r="AQ18" s="10"/>
      <c r="AR18" s="10"/>
      <c r="AV18" s="1"/>
      <c r="AW18" s="2" t="s">
        <v>8</v>
      </c>
      <c r="AX18" s="2"/>
      <c r="AY18" s="2"/>
      <c r="AZ18" s="2"/>
      <c r="BA18" s="2"/>
      <c r="BB18" s="2"/>
      <c r="BC18" s="2"/>
      <c r="BD18" s="2"/>
      <c r="BE18" s="10"/>
      <c r="BF18" s="10"/>
      <c r="BG18" s="10"/>
      <c r="BH18" s="10"/>
      <c r="BL18" s="1"/>
    </row>
    <row r="19" spans="1:64">
      <c r="A19" s="1"/>
      <c r="B19" s="2" t="s">
        <v>9</v>
      </c>
      <c r="C19" s="3" t="s">
        <v>10</v>
      </c>
      <c r="D19" s="3" t="s">
        <v>10</v>
      </c>
      <c r="E19" s="3">
        <v>0</v>
      </c>
      <c r="F19" s="3" t="s">
        <v>10</v>
      </c>
      <c r="G19" s="3" t="s">
        <v>10</v>
      </c>
      <c r="H19" s="19">
        <v>354.74489699999998</v>
      </c>
      <c r="I19" s="19">
        <v>59.847624000000003</v>
      </c>
      <c r="J19" s="11"/>
      <c r="K19" s="11"/>
      <c r="L19" s="11"/>
      <c r="P19" s="1"/>
      <c r="Q19" s="2" t="s">
        <v>9</v>
      </c>
      <c r="R19" s="3" t="s">
        <v>10</v>
      </c>
      <c r="S19" s="3" t="s">
        <v>10</v>
      </c>
      <c r="T19" s="3">
        <v>0</v>
      </c>
      <c r="U19" s="3" t="s">
        <v>10</v>
      </c>
      <c r="V19" s="3" t="s">
        <v>10</v>
      </c>
      <c r="W19" s="3">
        <v>354.74489699999998</v>
      </c>
      <c r="X19" s="3">
        <v>59.847624000000003</v>
      </c>
      <c r="Y19" s="11"/>
      <c r="Z19" s="11"/>
      <c r="AA19" s="11"/>
      <c r="AB19" s="11"/>
      <c r="AF19" s="1"/>
      <c r="AG19" s="2" t="s">
        <v>9</v>
      </c>
      <c r="AH19" s="3" t="s">
        <v>10</v>
      </c>
      <c r="AI19" s="3" t="s">
        <v>10</v>
      </c>
      <c r="AJ19" s="3">
        <v>0</v>
      </c>
      <c r="AK19" s="3" t="s">
        <v>10</v>
      </c>
      <c r="AL19" s="3" t="s">
        <v>10</v>
      </c>
      <c r="AM19" s="19">
        <v>273.108205</v>
      </c>
      <c r="AN19" s="19">
        <v>32.564512999999998</v>
      </c>
      <c r="AO19" s="11"/>
      <c r="AP19" s="11"/>
      <c r="AQ19" s="11"/>
      <c r="AR19" s="11"/>
      <c r="AV19" s="1"/>
      <c r="AW19" s="2" t="s">
        <v>9</v>
      </c>
      <c r="AX19" s="3" t="s">
        <v>10</v>
      </c>
      <c r="AY19" s="3" t="s">
        <v>10</v>
      </c>
      <c r="AZ19" s="3">
        <v>0</v>
      </c>
      <c r="BA19" s="3" t="s">
        <v>10</v>
      </c>
      <c r="BB19" s="3" t="s">
        <v>10</v>
      </c>
      <c r="BC19" s="3">
        <v>294.38202100000001</v>
      </c>
      <c r="BD19" s="3">
        <v>28.888207999999999</v>
      </c>
      <c r="BE19" s="11"/>
      <c r="BF19" s="11"/>
      <c r="BG19" s="11"/>
      <c r="BH19" s="11"/>
      <c r="BL19" s="1"/>
    </row>
    <row r="20" spans="1:64">
      <c r="A20" s="1"/>
      <c r="B20" s="2" t="s">
        <v>11</v>
      </c>
      <c r="C20" s="3">
        <v>10</v>
      </c>
      <c r="D20" s="3" t="s">
        <v>10</v>
      </c>
      <c r="E20" s="3">
        <v>0</v>
      </c>
      <c r="F20" s="3" t="s">
        <v>10</v>
      </c>
      <c r="G20" s="3" t="s">
        <v>10</v>
      </c>
      <c r="H20" s="19">
        <v>570</v>
      </c>
      <c r="I20" s="19">
        <v>150</v>
      </c>
      <c r="J20" s="11"/>
      <c r="K20" s="11"/>
      <c r="L20" s="11"/>
      <c r="P20" s="1"/>
      <c r="Q20" s="2" t="s">
        <v>11</v>
      </c>
      <c r="R20" s="3">
        <v>10</v>
      </c>
      <c r="S20" s="3" t="s">
        <v>10</v>
      </c>
      <c r="T20" s="3">
        <v>0</v>
      </c>
      <c r="U20" s="3" t="s">
        <v>10</v>
      </c>
      <c r="V20" s="3" t="s">
        <v>10</v>
      </c>
      <c r="W20" s="3">
        <v>570</v>
      </c>
      <c r="X20" s="3">
        <v>150</v>
      </c>
      <c r="Y20" s="11"/>
      <c r="Z20" s="11"/>
      <c r="AA20" s="11"/>
      <c r="AB20" s="11"/>
      <c r="AF20" s="1"/>
      <c r="AG20" s="2" t="s">
        <v>11</v>
      </c>
      <c r="AH20" s="3">
        <v>10</v>
      </c>
      <c r="AI20" s="3" t="s">
        <v>10</v>
      </c>
      <c r="AJ20" s="3">
        <v>0</v>
      </c>
      <c r="AK20" s="3" t="s">
        <v>10</v>
      </c>
      <c r="AL20" s="3" t="s">
        <v>10</v>
      </c>
      <c r="AM20" s="19">
        <v>570</v>
      </c>
      <c r="AN20" s="19">
        <v>84.575024999999997</v>
      </c>
      <c r="AO20" s="11"/>
      <c r="AP20" s="11"/>
      <c r="AQ20" s="11"/>
      <c r="AR20" s="11"/>
      <c r="AV20" s="1"/>
      <c r="AW20" s="2" t="s">
        <v>11</v>
      </c>
      <c r="AX20" s="3">
        <v>10</v>
      </c>
      <c r="AY20" s="3" t="s">
        <v>10</v>
      </c>
      <c r="AZ20" s="3">
        <v>0</v>
      </c>
      <c r="BA20" s="3" t="s">
        <v>10</v>
      </c>
      <c r="BB20" s="3" t="s">
        <v>10</v>
      </c>
      <c r="BC20" s="3">
        <v>570</v>
      </c>
      <c r="BD20" s="3">
        <v>150</v>
      </c>
      <c r="BE20" s="11"/>
      <c r="BF20" s="11"/>
      <c r="BG20" s="11"/>
      <c r="BH20" s="11"/>
      <c r="BL20" s="1"/>
    </row>
    <row r="21" spans="1:64">
      <c r="A21" s="1"/>
      <c r="B21" s="2" t="s">
        <v>12</v>
      </c>
      <c r="C21" s="3" t="s">
        <v>10</v>
      </c>
      <c r="D21" s="3" t="s">
        <v>10</v>
      </c>
      <c r="E21" s="3">
        <v>0</v>
      </c>
      <c r="F21" s="3">
        <v>15</v>
      </c>
      <c r="G21" s="3">
        <v>6.6</v>
      </c>
      <c r="H21" s="19">
        <v>0</v>
      </c>
      <c r="I21" s="19">
        <v>0</v>
      </c>
      <c r="J21" s="11"/>
      <c r="K21" s="11"/>
      <c r="L21" s="11"/>
      <c r="P21" s="1"/>
      <c r="Q21" s="2" t="s">
        <v>12</v>
      </c>
      <c r="R21" s="3" t="s">
        <v>10</v>
      </c>
      <c r="S21" s="3" t="s">
        <v>10</v>
      </c>
      <c r="T21" s="3">
        <v>0</v>
      </c>
      <c r="U21" s="3">
        <v>15</v>
      </c>
      <c r="V21" s="3">
        <v>6.6</v>
      </c>
      <c r="W21" s="3">
        <v>0</v>
      </c>
      <c r="X21" s="3">
        <v>0</v>
      </c>
      <c r="Y21" s="11"/>
      <c r="Z21" s="11"/>
      <c r="AA21" s="11"/>
      <c r="AB21" s="11"/>
      <c r="AF21" s="1"/>
      <c r="AG21" s="2" t="s">
        <v>12</v>
      </c>
      <c r="AH21" s="3" t="s">
        <v>10</v>
      </c>
      <c r="AI21" s="3" t="s">
        <v>10</v>
      </c>
      <c r="AJ21" s="3">
        <v>0</v>
      </c>
      <c r="AK21" s="3">
        <v>15</v>
      </c>
      <c r="AL21" s="3">
        <v>6.6</v>
      </c>
      <c r="AM21" s="19">
        <v>0</v>
      </c>
      <c r="AN21" s="19">
        <v>0</v>
      </c>
      <c r="AO21" s="11"/>
      <c r="AP21" s="11"/>
      <c r="AQ21" s="11"/>
      <c r="AR21" s="11"/>
      <c r="AV21" s="1"/>
      <c r="AW21" s="2" t="s">
        <v>12</v>
      </c>
      <c r="AX21" s="3" t="s">
        <v>10</v>
      </c>
      <c r="AY21" s="3" t="s">
        <v>10</v>
      </c>
      <c r="AZ21" s="3">
        <v>0</v>
      </c>
      <c r="BA21" s="3">
        <v>15</v>
      </c>
      <c r="BB21" s="3">
        <v>6.6</v>
      </c>
      <c r="BC21" s="3">
        <v>0</v>
      </c>
      <c r="BD21" s="3">
        <v>0</v>
      </c>
      <c r="BE21" s="11"/>
      <c r="BF21" s="11"/>
      <c r="BG21" s="11"/>
      <c r="BH21" s="11"/>
      <c r="BL21" s="1"/>
    </row>
    <row r="22" spans="1:64">
      <c r="A22" s="1"/>
      <c r="B22" s="2" t="s">
        <v>13</v>
      </c>
      <c r="C22" s="3">
        <v>10</v>
      </c>
      <c r="D22" s="3">
        <v>0</v>
      </c>
      <c r="E22" s="3">
        <v>0</v>
      </c>
      <c r="F22" s="3">
        <v>100</v>
      </c>
      <c r="G22" s="3">
        <v>15</v>
      </c>
      <c r="H22" s="19">
        <v>1212.1123829999999</v>
      </c>
      <c r="I22" s="19">
        <v>110.03115</v>
      </c>
      <c r="J22" s="11"/>
      <c r="K22" s="11"/>
      <c r="L22" s="11"/>
      <c r="P22" s="1"/>
      <c r="Q22" s="2" t="s">
        <v>13</v>
      </c>
      <c r="R22" s="3">
        <v>10</v>
      </c>
      <c r="S22" s="3">
        <v>0</v>
      </c>
      <c r="T22" s="3">
        <v>0</v>
      </c>
      <c r="U22" s="3">
        <v>100</v>
      </c>
      <c r="V22" s="3">
        <v>15</v>
      </c>
      <c r="W22" s="3">
        <v>1212.1123829999999</v>
      </c>
      <c r="X22" s="3">
        <v>110.03115</v>
      </c>
      <c r="Y22" s="11"/>
      <c r="Z22" s="11"/>
      <c r="AA22" s="11"/>
      <c r="AB22" s="11"/>
      <c r="AF22" s="1"/>
      <c r="AG22" s="2" t="s">
        <v>13</v>
      </c>
      <c r="AH22" s="3">
        <v>10</v>
      </c>
      <c r="AI22" s="3">
        <v>0</v>
      </c>
      <c r="AJ22" s="3">
        <v>0</v>
      </c>
      <c r="AK22" s="3">
        <v>138.117549</v>
      </c>
      <c r="AL22" s="3">
        <v>15</v>
      </c>
      <c r="AM22" s="19">
        <v>654.58932900000002</v>
      </c>
      <c r="AN22" s="19">
        <v>168.95450099999999</v>
      </c>
      <c r="AO22" s="11"/>
      <c r="AP22" s="11"/>
      <c r="AQ22" s="11"/>
      <c r="AR22" s="11"/>
      <c r="AV22" s="1"/>
      <c r="AW22" s="2" t="s">
        <v>13</v>
      </c>
      <c r="AX22" s="3">
        <v>10</v>
      </c>
      <c r="AY22" s="3">
        <v>0</v>
      </c>
      <c r="AZ22" s="3">
        <v>0</v>
      </c>
      <c r="BA22" s="3">
        <v>138.117549</v>
      </c>
      <c r="BB22" s="3">
        <v>15</v>
      </c>
      <c r="BC22" s="3">
        <v>654.58932900000002</v>
      </c>
      <c r="BD22" s="3">
        <v>168.95450099999999</v>
      </c>
      <c r="BE22" s="11"/>
      <c r="BF22" s="11"/>
      <c r="BG22" s="11"/>
      <c r="BH22" s="11"/>
      <c r="BL22" s="1"/>
    </row>
    <row r="23" spans="1:64">
      <c r="A23" s="1"/>
      <c r="B23" s="2" t="s">
        <v>14</v>
      </c>
      <c r="C23" s="3" t="s">
        <v>10</v>
      </c>
      <c r="D23" s="3" t="s">
        <v>10</v>
      </c>
      <c r="E23" s="3">
        <v>0</v>
      </c>
      <c r="F23" s="3">
        <v>6.1177970000000004</v>
      </c>
      <c r="G23" s="3">
        <v>0</v>
      </c>
      <c r="H23" s="19">
        <v>92.710476999999997</v>
      </c>
      <c r="I23" s="19">
        <v>80.223934</v>
      </c>
      <c r="J23" s="11"/>
      <c r="K23" s="11"/>
      <c r="L23" s="11"/>
      <c r="P23" s="1"/>
      <c r="Q23" s="2" t="s">
        <v>14</v>
      </c>
      <c r="R23" s="3" t="s">
        <v>10</v>
      </c>
      <c r="S23" s="3" t="s">
        <v>10</v>
      </c>
      <c r="T23" s="3">
        <v>0</v>
      </c>
      <c r="U23" s="3">
        <v>6.1177970000000004</v>
      </c>
      <c r="V23" s="3">
        <v>0</v>
      </c>
      <c r="W23" s="3">
        <v>92.710476999999997</v>
      </c>
      <c r="X23" s="3">
        <v>80.223934</v>
      </c>
      <c r="Y23" s="11"/>
      <c r="Z23" s="11"/>
      <c r="AA23" s="11"/>
      <c r="AB23" s="11"/>
      <c r="AF23" s="1"/>
      <c r="AG23" s="2" t="s">
        <v>14</v>
      </c>
      <c r="AH23" s="3" t="s">
        <v>10</v>
      </c>
      <c r="AI23" s="3" t="s">
        <v>10</v>
      </c>
      <c r="AJ23" s="3">
        <v>0</v>
      </c>
      <c r="AK23" s="3">
        <v>19.343406000000002</v>
      </c>
      <c r="AL23" s="3">
        <v>0</v>
      </c>
      <c r="AM23" s="19">
        <v>36.885733000000002</v>
      </c>
      <c r="AN23" s="19">
        <v>38.226804999999999</v>
      </c>
      <c r="AO23" s="11"/>
      <c r="AP23" s="11"/>
      <c r="AQ23" s="11"/>
      <c r="AR23" s="11"/>
      <c r="AV23" s="1"/>
      <c r="AW23" s="2" t="s">
        <v>14</v>
      </c>
      <c r="AX23" s="3" t="s">
        <v>10</v>
      </c>
      <c r="AY23" s="3" t="s">
        <v>10</v>
      </c>
      <c r="AZ23" s="3">
        <v>0</v>
      </c>
      <c r="BA23" s="3">
        <v>19.343406000000002</v>
      </c>
      <c r="BB23" s="3">
        <v>0</v>
      </c>
      <c r="BC23" s="3">
        <v>36.885733000000002</v>
      </c>
      <c r="BD23" s="3">
        <v>38.226804999999999</v>
      </c>
      <c r="BE23" s="11"/>
      <c r="BF23" s="11"/>
      <c r="BG23" s="11"/>
      <c r="BH23" s="11"/>
      <c r="BL23" s="1"/>
    </row>
    <row r="24" spans="1:64">
      <c r="A24" s="1"/>
      <c r="B24" s="2" t="s">
        <v>15</v>
      </c>
      <c r="C24" s="3" t="s">
        <v>10</v>
      </c>
      <c r="D24" s="3" t="s">
        <v>10</v>
      </c>
      <c r="E24" s="3">
        <v>0</v>
      </c>
      <c r="F24" s="3">
        <v>39.595711999999999</v>
      </c>
      <c r="G24" s="3" t="s">
        <v>10</v>
      </c>
      <c r="H24" s="19">
        <v>55.948265999999997</v>
      </c>
      <c r="I24" s="19">
        <v>200</v>
      </c>
      <c r="J24" s="11"/>
      <c r="K24" s="11"/>
      <c r="L24" s="11"/>
      <c r="P24" s="1"/>
      <c r="Q24" s="2" t="s">
        <v>15</v>
      </c>
      <c r="R24" s="3" t="s">
        <v>10</v>
      </c>
      <c r="S24" s="3" t="s">
        <v>10</v>
      </c>
      <c r="T24" s="3">
        <v>0</v>
      </c>
      <c r="U24" s="3">
        <v>37.457863000000003</v>
      </c>
      <c r="V24" s="3" t="s">
        <v>10</v>
      </c>
      <c r="W24" s="3">
        <v>90.848260999999994</v>
      </c>
      <c r="X24" s="3">
        <v>200</v>
      </c>
      <c r="Y24" s="11"/>
      <c r="Z24" s="11"/>
      <c r="AA24" s="11"/>
      <c r="AB24" s="11"/>
      <c r="AF24" s="1"/>
      <c r="AG24" s="2" t="s">
        <v>15</v>
      </c>
      <c r="AH24" s="3" t="s">
        <v>10</v>
      </c>
      <c r="AI24" s="3" t="s">
        <v>10</v>
      </c>
      <c r="AJ24" s="3">
        <v>0</v>
      </c>
      <c r="AK24" s="3">
        <v>60</v>
      </c>
      <c r="AL24" s="3" t="s">
        <v>10</v>
      </c>
      <c r="AM24" s="19">
        <v>72.744714000000002</v>
      </c>
      <c r="AN24" s="19">
        <v>136.897085</v>
      </c>
      <c r="AO24" s="11"/>
      <c r="AP24" s="11"/>
      <c r="AQ24" s="11"/>
      <c r="AR24" s="11"/>
      <c r="AV24" s="1"/>
      <c r="AW24" s="2" t="s">
        <v>15</v>
      </c>
      <c r="AX24" s="3" t="s">
        <v>10</v>
      </c>
      <c r="AY24" s="3" t="s">
        <v>10</v>
      </c>
      <c r="AZ24" s="3">
        <v>0</v>
      </c>
      <c r="BA24" s="3">
        <v>60</v>
      </c>
      <c r="BB24" s="3" t="s">
        <v>10</v>
      </c>
      <c r="BC24" s="3">
        <v>44.264690999999999</v>
      </c>
      <c r="BD24" s="3">
        <v>75.500048000000007</v>
      </c>
      <c r="BE24" s="11"/>
      <c r="BF24" s="11"/>
      <c r="BG24" s="11"/>
      <c r="BH24" s="11"/>
      <c r="BL24" s="1"/>
    </row>
    <row r="25" spans="1:64">
      <c r="A25" s="1"/>
      <c r="B25" s="2" t="s">
        <v>16</v>
      </c>
      <c r="C25" s="3" t="s">
        <v>10</v>
      </c>
      <c r="D25" s="3" t="s">
        <v>10</v>
      </c>
      <c r="E25" s="3">
        <v>0</v>
      </c>
      <c r="F25" s="3">
        <v>1.5</v>
      </c>
      <c r="G25" s="3" t="s">
        <v>10</v>
      </c>
      <c r="H25" s="19">
        <v>4.8661029999999998</v>
      </c>
      <c r="I25" s="19">
        <v>0.86150099999999996</v>
      </c>
      <c r="J25" s="11"/>
      <c r="K25" s="11"/>
      <c r="L25" s="11"/>
      <c r="P25" s="1"/>
      <c r="Q25" s="2" t="s">
        <v>16</v>
      </c>
      <c r="R25" s="3" t="s">
        <v>10</v>
      </c>
      <c r="S25" s="3" t="s">
        <v>10</v>
      </c>
      <c r="T25" s="3">
        <v>0</v>
      </c>
      <c r="U25" s="3">
        <v>1.5</v>
      </c>
      <c r="V25" s="3" t="s">
        <v>10</v>
      </c>
      <c r="W25" s="3">
        <v>4.8661029999999998</v>
      </c>
      <c r="X25" s="3">
        <v>0.86150099999999996</v>
      </c>
      <c r="Y25" s="11"/>
      <c r="Z25" s="11"/>
      <c r="AA25" s="11"/>
      <c r="AB25" s="11"/>
      <c r="AF25" s="1"/>
      <c r="AG25" s="2" t="s">
        <v>16</v>
      </c>
      <c r="AH25" s="3" t="s">
        <v>10</v>
      </c>
      <c r="AI25" s="3" t="s">
        <v>10</v>
      </c>
      <c r="AJ25" s="3">
        <v>0</v>
      </c>
      <c r="AK25" s="3">
        <v>1.5</v>
      </c>
      <c r="AL25" s="3" t="s">
        <v>10</v>
      </c>
      <c r="AM25" s="19">
        <v>4.8661029999999998</v>
      </c>
      <c r="AN25" s="19">
        <v>0.86150099999999996</v>
      </c>
      <c r="AO25" s="11"/>
      <c r="AP25" s="11"/>
      <c r="AQ25" s="11"/>
      <c r="AR25" s="11"/>
      <c r="AV25" s="1"/>
      <c r="AW25" s="2" t="s">
        <v>16</v>
      </c>
      <c r="AX25" s="3" t="s">
        <v>10</v>
      </c>
      <c r="AY25" s="3" t="s">
        <v>10</v>
      </c>
      <c r="AZ25" s="3">
        <v>0</v>
      </c>
      <c r="BA25" s="3">
        <v>1.5</v>
      </c>
      <c r="BB25" s="3" t="s">
        <v>10</v>
      </c>
      <c r="BC25" s="3">
        <v>4.8661029999999998</v>
      </c>
      <c r="BD25" s="3">
        <v>0.86150099999999996</v>
      </c>
      <c r="BE25" s="11"/>
      <c r="BF25" s="11"/>
      <c r="BG25" s="11"/>
      <c r="BH25" s="11"/>
      <c r="BL25" s="1"/>
    </row>
    <row r="26" spans="1:64">
      <c r="A26" s="1"/>
      <c r="B26" s="2" t="s">
        <v>17</v>
      </c>
      <c r="C26" s="3">
        <v>41.4</v>
      </c>
      <c r="D26" s="3" t="s">
        <v>10</v>
      </c>
      <c r="E26" s="3">
        <v>0</v>
      </c>
      <c r="F26" s="3">
        <v>81.008469000000005</v>
      </c>
      <c r="G26" s="3" t="s">
        <v>10</v>
      </c>
      <c r="H26" s="19">
        <v>433.50940800000001</v>
      </c>
      <c r="I26" s="19">
        <v>400</v>
      </c>
      <c r="J26" s="11"/>
      <c r="K26" s="11"/>
      <c r="L26" s="11"/>
      <c r="P26" s="1"/>
      <c r="Q26" s="2" t="s">
        <v>17</v>
      </c>
      <c r="R26" s="3">
        <v>41.4</v>
      </c>
      <c r="S26" s="3" t="s">
        <v>10</v>
      </c>
      <c r="T26" s="3">
        <v>0</v>
      </c>
      <c r="U26" s="3">
        <v>81.008469000000005</v>
      </c>
      <c r="V26" s="3" t="s">
        <v>10</v>
      </c>
      <c r="W26" s="3">
        <v>433.50940800000001</v>
      </c>
      <c r="X26" s="3">
        <v>400</v>
      </c>
      <c r="Y26" s="11"/>
      <c r="Z26" s="11"/>
      <c r="AA26" s="11"/>
      <c r="AB26" s="11"/>
      <c r="AF26" s="1"/>
      <c r="AG26" s="2" t="s">
        <v>17</v>
      </c>
      <c r="AH26" s="3">
        <v>41.4</v>
      </c>
      <c r="AI26" s="3" t="s">
        <v>10</v>
      </c>
      <c r="AJ26" s="3">
        <v>0</v>
      </c>
      <c r="AK26" s="3">
        <v>108.459808</v>
      </c>
      <c r="AL26" s="3" t="s">
        <v>10</v>
      </c>
      <c r="AM26" s="19">
        <v>362.58408400000002</v>
      </c>
      <c r="AN26" s="19">
        <v>239.89014399999999</v>
      </c>
      <c r="AO26" s="11"/>
      <c r="AP26" s="11"/>
      <c r="AQ26" s="11"/>
      <c r="AR26" s="11"/>
      <c r="AV26" s="1"/>
      <c r="AW26" s="2" t="s">
        <v>17</v>
      </c>
      <c r="AX26" s="3">
        <v>41.4</v>
      </c>
      <c r="AY26" s="3" t="s">
        <v>10</v>
      </c>
      <c r="AZ26" s="3">
        <v>0</v>
      </c>
      <c r="BA26" s="3">
        <v>108.459808</v>
      </c>
      <c r="BB26" s="3" t="s">
        <v>10</v>
      </c>
      <c r="BC26" s="3">
        <v>362.58408400000002</v>
      </c>
      <c r="BD26" s="3">
        <v>239.89014399999999</v>
      </c>
      <c r="BE26" s="11"/>
      <c r="BF26" s="11"/>
      <c r="BG26" s="11"/>
      <c r="BH26" s="11"/>
      <c r="BL26" s="1"/>
    </row>
    <row r="27" spans="1:64">
      <c r="A27" s="1"/>
      <c r="B27" s="2" t="s">
        <v>18</v>
      </c>
      <c r="C27" s="3" t="s">
        <v>10</v>
      </c>
      <c r="D27" s="3" t="s">
        <v>10</v>
      </c>
      <c r="E27" s="3">
        <v>0</v>
      </c>
      <c r="F27" s="3">
        <v>46.767200000000003</v>
      </c>
      <c r="G27" s="3" t="s">
        <v>10</v>
      </c>
      <c r="H27" s="19">
        <v>1.5</v>
      </c>
      <c r="I27" s="19">
        <v>2.2000000000000002</v>
      </c>
      <c r="J27" s="11"/>
      <c r="K27" s="11"/>
      <c r="L27" s="11"/>
      <c r="P27" s="1"/>
      <c r="Q27" s="2" t="s">
        <v>18</v>
      </c>
      <c r="R27" s="3" t="s">
        <v>10</v>
      </c>
      <c r="S27" s="3" t="s">
        <v>10</v>
      </c>
      <c r="T27" s="3">
        <v>0</v>
      </c>
      <c r="U27" s="3">
        <v>46.767200000000003</v>
      </c>
      <c r="V27" s="3" t="s">
        <v>10</v>
      </c>
      <c r="W27" s="3">
        <v>1.5</v>
      </c>
      <c r="X27" s="3">
        <v>2.2000000000000002</v>
      </c>
      <c r="Y27" s="11"/>
      <c r="Z27" s="11"/>
      <c r="AA27" s="11"/>
      <c r="AB27" s="11"/>
      <c r="AF27" s="1"/>
      <c r="AG27" s="2" t="s">
        <v>18</v>
      </c>
      <c r="AH27" s="3" t="s">
        <v>10</v>
      </c>
      <c r="AI27" s="3" t="s">
        <v>10</v>
      </c>
      <c r="AJ27" s="3">
        <v>0</v>
      </c>
      <c r="AK27" s="3">
        <v>57.133046999999998</v>
      </c>
      <c r="AL27" s="3" t="s">
        <v>10</v>
      </c>
      <c r="AM27" s="19">
        <v>1.5</v>
      </c>
      <c r="AN27" s="19">
        <v>2.2000000000000002</v>
      </c>
      <c r="AO27" s="11"/>
      <c r="AP27" s="11"/>
      <c r="AQ27" s="11"/>
      <c r="AR27" s="11"/>
      <c r="AV27" s="1"/>
      <c r="AW27" s="2" t="s">
        <v>18</v>
      </c>
      <c r="AX27" s="3" t="s">
        <v>10</v>
      </c>
      <c r="AY27" s="3" t="s">
        <v>10</v>
      </c>
      <c r="AZ27" s="3">
        <v>0</v>
      </c>
      <c r="BA27" s="3">
        <v>55.597847000000002</v>
      </c>
      <c r="BB27" s="3" t="s">
        <v>10</v>
      </c>
      <c r="BC27" s="3">
        <v>1.5</v>
      </c>
      <c r="BD27" s="3">
        <v>2.2000000000000002</v>
      </c>
      <c r="BE27" s="11"/>
      <c r="BF27" s="11"/>
      <c r="BG27" s="11"/>
      <c r="BH27" s="11"/>
      <c r="BL27" s="1"/>
    </row>
    <row r="28" spans="1:64">
      <c r="A28" s="1"/>
      <c r="B28" s="2" t="s">
        <v>19</v>
      </c>
      <c r="C28" s="3" t="s">
        <v>10</v>
      </c>
      <c r="D28" s="3" t="s">
        <v>10</v>
      </c>
      <c r="E28" s="3">
        <v>0</v>
      </c>
      <c r="F28" s="3">
        <v>0</v>
      </c>
      <c r="G28" s="3">
        <v>8</v>
      </c>
      <c r="H28" s="19">
        <v>55.524984000000003</v>
      </c>
      <c r="I28" s="19">
        <v>120</v>
      </c>
      <c r="J28" s="11"/>
      <c r="K28" s="11"/>
      <c r="L28" s="11"/>
      <c r="P28" s="1"/>
      <c r="Q28" s="2" t="s">
        <v>19</v>
      </c>
      <c r="R28" s="3" t="s">
        <v>10</v>
      </c>
      <c r="S28" s="3" t="s">
        <v>10</v>
      </c>
      <c r="T28" s="3">
        <v>0</v>
      </c>
      <c r="U28" s="3">
        <v>0</v>
      </c>
      <c r="V28" s="3">
        <v>8</v>
      </c>
      <c r="W28" s="3">
        <v>46.660465000000002</v>
      </c>
      <c r="X28" s="3">
        <v>120</v>
      </c>
      <c r="Y28" s="11"/>
      <c r="Z28" s="11"/>
      <c r="AA28" s="11"/>
      <c r="AB28" s="11"/>
      <c r="AF28" s="1"/>
      <c r="AG28" s="2" t="s">
        <v>19</v>
      </c>
      <c r="AH28" s="3" t="s">
        <v>10</v>
      </c>
      <c r="AI28" s="3" t="s">
        <v>10</v>
      </c>
      <c r="AJ28" s="3">
        <v>0</v>
      </c>
      <c r="AK28" s="3">
        <v>21.775521000000001</v>
      </c>
      <c r="AL28" s="3">
        <v>8</v>
      </c>
      <c r="AM28" s="19">
        <v>15.994569</v>
      </c>
      <c r="AN28" s="19">
        <v>0</v>
      </c>
      <c r="AO28" s="11"/>
      <c r="AP28" s="11"/>
      <c r="AQ28" s="11"/>
      <c r="AR28" s="11"/>
      <c r="AV28" s="1"/>
      <c r="AW28" s="2" t="s">
        <v>19</v>
      </c>
      <c r="AX28" s="3" t="s">
        <v>10</v>
      </c>
      <c r="AY28" s="3" t="s">
        <v>10</v>
      </c>
      <c r="AZ28" s="3">
        <v>0</v>
      </c>
      <c r="BA28" s="3">
        <v>27.677340000000001</v>
      </c>
      <c r="BB28" s="3">
        <v>8</v>
      </c>
      <c r="BC28" s="3">
        <v>1.8</v>
      </c>
      <c r="BD28" s="3">
        <v>0</v>
      </c>
      <c r="BE28" s="11"/>
      <c r="BF28" s="11"/>
      <c r="BG28" s="11"/>
      <c r="BH28" s="11"/>
      <c r="BL28" s="1"/>
    </row>
    <row r="29" spans="1:64" ht="59">
      <c r="A29" s="1"/>
      <c r="B29" s="8" t="s">
        <v>47</v>
      </c>
      <c r="L29" s="10" t="s">
        <v>48</v>
      </c>
      <c r="M29" s="10" t="s">
        <v>49</v>
      </c>
      <c r="N29" s="10" t="s">
        <v>95</v>
      </c>
      <c r="O29" s="10" t="s">
        <v>217</v>
      </c>
      <c r="P29" s="1"/>
      <c r="Q29" s="8" t="s">
        <v>47</v>
      </c>
      <c r="AA29" s="10" t="s">
        <v>48</v>
      </c>
      <c r="AB29" s="10"/>
      <c r="AC29" s="10" t="s">
        <v>49</v>
      </c>
      <c r="AD29" s="10" t="s">
        <v>95</v>
      </c>
      <c r="AE29" s="10" t="s">
        <v>217</v>
      </c>
      <c r="AF29" s="1"/>
      <c r="AG29" s="8" t="s">
        <v>47</v>
      </c>
      <c r="AQ29" s="10" t="s">
        <v>48</v>
      </c>
      <c r="AR29" s="10"/>
      <c r="AS29" s="10" t="s">
        <v>49</v>
      </c>
      <c r="AT29" s="10" t="s">
        <v>95</v>
      </c>
      <c r="AU29" s="10" t="s">
        <v>217</v>
      </c>
      <c r="AV29" s="1"/>
      <c r="AW29" s="8" t="s">
        <v>47</v>
      </c>
      <c r="BG29" s="10" t="s">
        <v>48</v>
      </c>
      <c r="BH29" s="10"/>
      <c r="BI29" s="10" t="s">
        <v>49</v>
      </c>
      <c r="BJ29" s="10" t="s">
        <v>95</v>
      </c>
      <c r="BK29" s="10" t="s">
        <v>217</v>
      </c>
      <c r="BL29" s="1"/>
    </row>
    <row r="30" spans="1:64" ht="29.5">
      <c r="A30" s="1"/>
      <c r="B30" s="2" t="s">
        <v>0</v>
      </c>
      <c r="C30" s="2" t="s">
        <v>1</v>
      </c>
      <c r="D30" s="2" t="s">
        <v>2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10"/>
      <c r="K30" s="10"/>
      <c r="L30" s="10"/>
      <c r="P30" s="1"/>
      <c r="Q30" s="2" t="s">
        <v>0</v>
      </c>
      <c r="R30" s="2" t="s">
        <v>1</v>
      </c>
      <c r="S30" s="2" t="s">
        <v>2</v>
      </c>
      <c r="T30" s="2" t="s">
        <v>3</v>
      </c>
      <c r="U30" s="2" t="s">
        <v>4</v>
      </c>
      <c r="V30" s="2" t="s">
        <v>5</v>
      </c>
      <c r="W30" s="2" t="s">
        <v>6</v>
      </c>
      <c r="X30" s="2" t="s">
        <v>7</v>
      </c>
      <c r="Y30" s="10"/>
      <c r="Z30" s="10"/>
      <c r="AA30" s="10"/>
      <c r="AB30" s="10"/>
      <c r="AF30" s="1"/>
      <c r="AG30" s="2" t="s">
        <v>0</v>
      </c>
      <c r="AH30" s="2" t="s">
        <v>1</v>
      </c>
      <c r="AI30" s="2" t="s">
        <v>2</v>
      </c>
      <c r="AJ30" s="2" t="s">
        <v>3</v>
      </c>
      <c r="AK30" s="2" t="s">
        <v>4</v>
      </c>
      <c r="AL30" s="2" t="s">
        <v>5</v>
      </c>
      <c r="AM30" s="2" t="s">
        <v>6</v>
      </c>
      <c r="AN30" s="2" t="s">
        <v>7</v>
      </c>
      <c r="AO30" s="10"/>
      <c r="AP30" s="10"/>
      <c r="AQ30" s="10"/>
      <c r="AR30" s="10"/>
      <c r="AV30" s="1"/>
      <c r="AW30" s="2" t="s">
        <v>0</v>
      </c>
      <c r="AX30" s="2" t="s">
        <v>1</v>
      </c>
      <c r="AY30" s="2" t="s">
        <v>2</v>
      </c>
      <c r="AZ30" s="2" t="s">
        <v>3</v>
      </c>
      <c r="BA30" s="2" t="s">
        <v>4</v>
      </c>
      <c r="BB30" s="2" t="s">
        <v>5</v>
      </c>
      <c r="BC30" s="2" t="s">
        <v>6</v>
      </c>
      <c r="BD30" s="2" t="s">
        <v>7</v>
      </c>
      <c r="BE30" s="10"/>
      <c r="BF30" s="10"/>
      <c r="BG30" s="10"/>
      <c r="BH30" s="10"/>
      <c r="BL30" s="1"/>
    </row>
    <row r="31" spans="1:64">
      <c r="A31" s="1"/>
      <c r="B31" s="2" t="s">
        <v>8</v>
      </c>
      <c r="C31" s="2"/>
      <c r="D31" s="2"/>
      <c r="E31" s="2"/>
      <c r="F31" s="2"/>
      <c r="G31" s="2"/>
      <c r="H31" s="2"/>
      <c r="I31" s="2"/>
      <c r="J31" s="10"/>
      <c r="K31" s="10"/>
      <c r="L31" s="10"/>
      <c r="P31" s="1"/>
      <c r="Q31" s="2" t="s">
        <v>8</v>
      </c>
      <c r="R31" s="2"/>
      <c r="S31" s="2"/>
      <c r="T31" s="2"/>
      <c r="U31" s="2"/>
      <c r="V31" s="2"/>
      <c r="W31" s="2"/>
      <c r="X31" s="2"/>
      <c r="Y31" s="10"/>
      <c r="Z31" s="10"/>
      <c r="AA31" s="10"/>
      <c r="AB31" s="10"/>
      <c r="AF31" s="1"/>
      <c r="AG31" s="2" t="s">
        <v>8</v>
      </c>
      <c r="AH31" s="2"/>
      <c r="AI31" s="2"/>
      <c r="AJ31" s="2"/>
      <c r="AK31" s="2"/>
      <c r="AL31" s="2"/>
      <c r="AM31" s="2"/>
      <c r="AN31" s="2"/>
      <c r="AO31" s="10"/>
      <c r="AP31" s="10"/>
      <c r="AQ31" s="10"/>
      <c r="AR31" s="10"/>
      <c r="AV31" s="1"/>
      <c r="AW31" s="2" t="s">
        <v>8</v>
      </c>
      <c r="AX31" s="2"/>
      <c r="AY31" s="2"/>
      <c r="AZ31" s="2"/>
      <c r="BA31" s="2"/>
      <c r="BB31" s="2"/>
      <c r="BC31" s="2"/>
      <c r="BD31" s="2"/>
      <c r="BE31" s="10"/>
      <c r="BF31" s="10"/>
      <c r="BG31" s="10"/>
      <c r="BH31" s="10"/>
      <c r="BL31" s="1"/>
    </row>
    <row r="32" spans="1:64">
      <c r="A32" s="1"/>
      <c r="B32" s="2" t="s">
        <v>9</v>
      </c>
      <c r="C32" s="3" t="s">
        <v>10</v>
      </c>
      <c r="D32" s="3" t="s">
        <v>10</v>
      </c>
      <c r="E32" s="3">
        <v>0</v>
      </c>
      <c r="F32" s="3" t="s">
        <v>10</v>
      </c>
      <c r="G32" s="3" t="s">
        <v>10</v>
      </c>
      <c r="H32" s="19">
        <v>245.678628</v>
      </c>
      <c r="I32" s="19">
        <v>206.139703</v>
      </c>
      <c r="J32" s="11"/>
      <c r="K32" s="11"/>
      <c r="L32" s="12">
        <f>H32/(SUM(C32:I32))</f>
        <v>0.54375533515040142</v>
      </c>
      <c r="M32" s="12">
        <f>I32/(SUM(D32:J32))</f>
        <v>0.45624466484959858</v>
      </c>
      <c r="N32" s="17">
        <f>SUM(C32:I32)</f>
        <v>451.818331</v>
      </c>
      <c r="O32" s="17">
        <f>N32-'2''. Storage - some with diesel'!$AP32</f>
        <v>14.802290999999968</v>
      </c>
      <c r="P32" s="1"/>
      <c r="Q32" s="2" t="s">
        <v>9</v>
      </c>
      <c r="R32" s="3" t="s">
        <v>10</v>
      </c>
      <c r="S32" s="3" t="s">
        <v>10</v>
      </c>
      <c r="T32" s="3">
        <v>0</v>
      </c>
      <c r="U32" s="3" t="s">
        <v>10</v>
      </c>
      <c r="V32" s="3" t="s">
        <v>10</v>
      </c>
      <c r="W32" s="19">
        <v>245.678628</v>
      </c>
      <c r="X32" s="19">
        <v>206.14110700000001</v>
      </c>
      <c r="Y32" s="11"/>
      <c r="Z32" s="11"/>
      <c r="AA32" s="12">
        <f>W32/(SUM(R32:X32))</f>
        <v>0.54375364546659299</v>
      </c>
      <c r="AB32" s="12"/>
      <c r="AC32" s="12">
        <f>X32/(SUM(S32:Y32))</f>
        <v>0.45624635453340695</v>
      </c>
      <c r="AD32" s="17">
        <f>SUM(R32:X32)</f>
        <v>451.81973500000004</v>
      </c>
      <c r="AE32" s="17">
        <f>AD32-'2''. Storage - some with diesel'!$AP32</f>
        <v>14.803695000000005</v>
      </c>
      <c r="AF32" s="1"/>
      <c r="AG32" s="2" t="s">
        <v>9</v>
      </c>
      <c r="AH32" s="3" t="s">
        <v>10</v>
      </c>
      <c r="AI32" s="3" t="s">
        <v>10</v>
      </c>
      <c r="AJ32" s="3">
        <v>0</v>
      </c>
      <c r="AK32" s="3" t="s">
        <v>10</v>
      </c>
      <c r="AL32" s="3" t="s">
        <v>10</v>
      </c>
      <c r="AM32" s="19">
        <v>278.87858499999999</v>
      </c>
      <c r="AN32" s="19">
        <v>116.146286</v>
      </c>
      <c r="AO32" s="11"/>
      <c r="AP32" s="11"/>
      <c r="AQ32" s="12">
        <f>AM32/(SUM(AH32:AN32))</f>
        <v>0.70597728263038917</v>
      </c>
      <c r="AR32" s="12"/>
      <c r="AS32" s="12">
        <f>AN32/(SUM(AI32:AO32))</f>
        <v>0.29402271736961094</v>
      </c>
      <c r="AT32" s="17">
        <f>SUM(AH32:AN32)</f>
        <v>395.02487099999996</v>
      </c>
      <c r="AU32" s="17">
        <f>AT32-'2''. Storage - some with diesel'!$AP32</f>
        <v>-41.99116900000007</v>
      </c>
      <c r="AV32" s="1"/>
      <c r="AW32" s="2" t="s">
        <v>9</v>
      </c>
      <c r="AX32" s="3" t="s">
        <v>10</v>
      </c>
      <c r="AY32" s="3" t="s">
        <v>10</v>
      </c>
      <c r="AZ32" s="3">
        <v>0</v>
      </c>
      <c r="BA32" s="3" t="s">
        <v>10</v>
      </c>
      <c r="BB32" s="3" t="s">
        <v>10</v>
      </c>
      <c r="BC32" s="3">
        <v>299.38665099999997</v>
      </c>
      <c r="BD32" s="3">
        <v>103.38851699999999</v>
      </c>
      <c r="BE32" s="11"/>
      <c r="BF32" s="11"/>
      <c r="BG32" s="12">
        <f>BC32/(SUM(AX32:BD32))</f>
        <v>0.74330960492579323</v>
      </c>
      <c r="BH32" s="12"/>
      <c r="BI32" s="12">
        <f>BD32/(SUM(AY32:BE32))</f>
        <v>0.25669039507420677</v>
      </c>
      <c r="BJ32" s="17">
        <f>SUM(AX32:BD32)</f>
        <v>402.77516799999995</v>
      </c>
      <c r="BK32" s="17">
        <f>BJ32-'2''. Storage - some with diesel'!$AP32</f>
        <v>-34.240872000000081</v>
      </c>
      <c r="BL32" s="1"/>
    </row>
    <row r="33" spans="1:64">
      <c r="A33" s="1"/>
      <c r="B33" s="2" t="s">
        <v>11</v>
      </c>
      <c r="C33" s="3">
        <v>1.6385689999999999</v>
      </c>
      <c r="D33" s="3" t="s">
        <v>10</v>
      </c>
      <c r="E33" s="3">
        <v>0</v>
      </c>
      <c r="F33" s="3" t="s">
        <v>10</v>
      </c>
      <c r="G33" s="3" t="s">
        <v>10</v>
      </c>
      <c r="H33" s="19">
        <v>680.30466799999999</v>
      </c>
      <c r="I33" s="19">
        <v>574.65853500000003</v>
      </c>
      <c r="J33" s="11"/>
      <c r="K33" s="11"/>
      <c r="L33" s="12">
        <f t="shared" ref="L33:L41" si="6">H33/(SUM(C33:I33))</f>
        <v>0.54138445700043147</v>
      </c>
      <c r="M33" s="12">
        <f t="shared" ref="M33:M41" si="7">I33/(SUM(D33:J33))</f>
        <v>0.45790867304019273</v>
      </c>
      <c r="N33" s="17">
        <f t="shared" ref="N33:N41" si="8">SUM(C33:I33)</f>
        <v>1256.601772</v>
      </c>
      <c r="O33" s="17">
        <f>N33-'2''. Storage - some with diesel'!$AP33</f>
        <v>54.679671999999982</v>
      </c>
      <c r="P33" s="1"/>
      <c r="Q33" s="2" t="s">
        <v>11</v>
      </c>
      <c r="R33" s="3">
        <v>1.4222680000000001</v>
      </c>
      <c r="S33" s="3" t="s">
        <v>10</v>
      </c>
      <c r="T33" s="3">
        <v>0</v>
      </c>
      <c r="U33" s="3" t="s">
        <v>10</v>
      </c>
      <c r="V33" s="3" t="s">
        <v>10</v>
      </c>
      <c r="W33" s="19">
        <v>678.75882899999999</v>
      </c>
      <c r="X33" s="19">
        <v>574.36939700000005</v>
      </c>
      <c r="Y33" s="11"/>
      <c r="Z33" s="11"/>
      <c r="AA33" s="12">
        <f t="shared" ref="AA33:AA41" si="9">W33/(SUM(R33:X33))</f>
        <v>0.54103747298034222</v>
      </c>
      <c r="AB33" s="12"/>
      <c r="AC33" s="12">
        <f t="shared" ref="AC33:AC41" si="10">X33/(SUM(S33:Y33))</f>
        <v>0.45834846353544673</v>
      </c>
      <c r="AD33" s="17">
        <f t="shared" ref="AD33:AD41" si="11">SUM(R33:X33)</f>
        <v>1254.5504940000001</v>
      </c>
      <c r="AE33" s="17">
        <f>AD33-'2''. Storage - some with diesel'!$AP33</f>
        <v>52.628394000000071</v>
      </c>
      <c r="AF33" s="1"/>
      <c r="AG33" s="2" t="s">
        <v>11</v>
      </c>
      <c r="AH33" s="3">
        <v>1.460188</v>
      </c>
      <c r="AI33" s="3" t="s">
        <v>10</v>
      </c>
      <c r="AJ33" s="3">
        <v>0</v>
      </c>
      <c r="AK33" s="3" t="s">
        <v>10</v>
      </c>
      <c r="AL33" s="3" t="s">
        <v>10</v>
      </c>
      <c r="AM33" s="19">
        <v>601.23152800000003</v>
      </c>
      <c r="AN33" s="19">
        <v>328.906586</v>
      </c>
      <c r="AO33" s="11"/>
      <c r="AP33" s="11"/>
      <c r="AQ33" s="12">
        <f t="shared" ref="AQ33:AQ41" si="12">AM33/(SUM(AH33:AN33))</f>
        <v>0.64537636737770687</v>
      </c>
      <c r="AR33" s="12"/>
      <c r="AS33" s="12">
        <f t="shared" ref="AS33:AS41" si="13">AN33/(SUM(AI33:AO33))</f>
        <v>0.35361048112044141</v>
      </c>
      <c r="AT33" s="17">
        <f t="shared" ref="AT33:AT41" si="14">SUM(AH33:AN33)</f>
        <v>931.5983020000001</v>
      </c>
      <c r="AU33" s="17">
        <f>AT33-'2''. Storage - some with diesel'!$AP33</f>
        <v>-270.3237979999999</v>
      </c>
      <c r="AV33" s="1"/>
      <c r="AW33" s="2" t="s">
        <v>11</v>
      </c>
      <c r="AX33" s="3">
        <v>1.255881</v>
      </c>
      <c r="AY33" s="3" t="s">
        <v>10</v>
      </c>
      <c r="AZ33" s="3">
        <v>0</v>
      </c>
      <c r="BA33" s="3" t="s">
        <v>10</v>
      </c>
      <c r="BB33" s="3" t="s">
        <v>10</v>
      </c>
      <c r="BC33" s="3">
        <v>566.57879100000002</v>
      </c>
      <c r="BD33" s="3">
        <v>536.85912499999995</v>
      </c>
      <c r="BE33" s="11"/>
      <c r="BF33" s="11"/>
      <c r="BG33" s="12">
        <f t="shared" ref="BG33:BG41" si="15">BC33/(SUM(AX33:BD33))</f>
        <v>0.5128831107214048</v>
      </c>
      <c r="BH33" s="12"/>
      <c r="BI33" s="12">
        <f t="shared" ref="BI33:BI41" si="16">BD33/(SUM(AY33:BE33))</f>
        <v>0.48653314990854457</v>
      </c>
      <c r="BJ33" s="17">
        <f t="shared" ref="BJ33:BJ41" si="17">SUM(AX33:BD33)</f>
        <v>1104.6937969999999</v>
      </c>
      <c r="BK33" s="17">
        <f>BJ33-'2''. Storage - some with diesel'!$AP33</f>
        <v>-97.228303000000096</v>
      </c>
      <c r="BL33" s="1"/>
    </row>
    <row r="34" spans="1:64">
      <c r="A34" s="1"/>
      <c r="B34" s="2" t="s">
        <v>12</v>
      </c>
      <c r="C34" s="3" t="s">
        <v>10</v>
      </c>
      <c r="D34" s="3" t="s">
        <v>10</v>
      </c>
      <c r="E34" s="3">
        <v>0</v>
      </c>
      <c r="F34" s="19">
        <v>82.737200000000001</v>
      </c>
      <c r="G34" s="19">
        <v>44.743699999999997</v>
      </c>
      <c r="H34" s="19">
        <v>0</v>
      </c>
      <c r="I34" s="19">
        <v>0</v>
      </c>
      <c r="J34" s="11"/>
      <c r="K34" s="11"/>
      <c r="L34" s="12">
        <f t="shared" si="6"/>
        <v>0</v>
      </c>
      <c r="M34" s="12">
        <f t="shared" si="7"/>
        <v>0</v>
      </c>
      <c r="N34" s="17">
        <f t="shared" si="8"/>
        <v>127.48089999999999</v>
      </c>
      <c r="O34" s="17">
        <f>N34-'2''. Storage - some with diesel'!$AP34</f>
        <v>0</v>
      </c>
      <c r="P34" s="1"/>
      <c r="Q34" s="2" t="s">
        <v>12</v>
      </c>
      <c r="R34" s="3" t="s">
        <v>10</v>
      </c>
      <c r="S34" s="3" t="s">
        <v>10</v>
      </c>
      <c r="T34" s="3">
        <v>0</v>
      </c>
      <c r="U34" s="19">
        <v>82.737200000000001</v>
      </c>
      <c r="V34" s="19">
        <v>44.743699999999997</v>
      </c>
      <c r="W34" s="19">
        <v>0</v>
      </c>
      <c r="X34" s="19">
        <v>0</v>
      </c>
      <c r="Y34" s="11"/>
      <c r="Z34" s="11"/>
      <c r="AA34" s="12">
        <f t="shared" si="9"/>
        <v>0</v>
      </c>
      <c r="AB34" s="12"/>
      <c r="AC34" s="12">
        <f t="shared" si="10"/>
        <v>0</v>
      </c>
      <c r="AD34" s="17">
        <f t="shared" si="11"/>
        <v>127.48089999999999</v>
      </c>
      <c r="AE34" s="17">
        <f>AD34-'2''. Storage - some with diesel'!$AP34</f>
        <v>0</v>
      </c>
      <c r="AF34" s="1"/>
      <c r="AG34" s="2" t="s">
        <v>12</v>
      </c>
      <c r="AH34" s="3" t="s">
        <v>10</v>
      </c>
      <c r="AI34" s="3" t="s">
        <v>10</v>
      </c>
      <c r="AJ34" s="3">
        <v>0</v>
      </c>
      <c r="AK34" s="19">
        <v>82.737200000000001</v>
      </c>
      <c r="AL34" s="19">
        <v>44.743699999999997</v>
      </c>
      <c r="AM34" s="19">
        <v>0</v>
      </c>
      <c r="AN34" s="19">
        <v>0</v>
      </c>
      <c r="AO34" s="11"/>
      <c r="AP34" s="11"/>
      <c r="AQ34" s="12">
        <f t="shared" si="12"/>
        <v>0</v>
      </c>
      <c r="AR34" s="12"/>
      <c r="AS34" s="12">
        <f t="shared" si="13"/>
        <v>0</v>
      </c>
      <c r="AT34" s="17">
        <f t="shared" si="14"/>
        <v>127.48089999999999</v>
      </c>
      <c r="AU34" s="17">
        <f>AT34-'2''. Storage - some with diesel'!$AP34</f>
        <v>0</v>
      </c>
      <c r="AV34" s="1"/>
      <c r="AW34" s="2" t="s">
        <v>12</v>
      </c>
      <c r="AX34" s="3" t="s">
        <v>10</v>
      </c>
      <c r="AY34" s="3" t="s">
        <v>10</v>
      </c>
      <c r="AZ34" s="3">
        <v>0</v>
      </c>
      <c r="BA34" s="3">
        <v>82.737200000000001</v>
      </c>
      <c r="BB34" s="3">
        <v>44.743699999999997</v>
      </c>
      <c r="BC34" s="3">
        <v>0</v>
      </c>
      <c r="BD34" s="3">
        <v>0</v>
      </c>
      <c r="BE34" s="11"/>
      <c r="BF34" s="11"/>
      <c r="BG34" s="12">
        <f t="shared" si="15"/>
        <v>0</v>
      </c>
      <c r="BH34" s="12"/>
      <c r="BI34" s="12">
        <f t="shared" si="16"/>
        <v>0</v>
      </c>
      <c r="BJ34" s="17">
        <f t="shared" si="17"/>
        <v>127.48089999999999</v>
      </c>
      <c r="BK34" s="17">
        <f>BJ34-'2''. Storage - some with diesel'!$AP34</f>
        <v>0</v>
      </c>
      <c r="BL34" s="1"/>
    </row>
    <row r="35" spans="1:64">
      <c r="A35" s="1"/>
      <c r="B35" s="2" t="s">
        <v>13</v>
      </c>
      <c r="C35" s="3">
        <v>0.97268399999999999</v>
      </c>
      <c r="D35" s="3">
        <v>0</v>
      </c>
      <c r="E35" s="3">
        <v>0</v>
      </c>
      <c r="F35" s="19">
        <v>531.51524900000004</v>
      </c>
      <c r="G35" s="19">
        <v>7.030208</v>
      </c>
      <c r="H35" s="19">
        <v>1050.5484469999999</v>
      </c>
      <c r="I35" s="19">
        <v>413.103612</v>
      </c>
      <c r="J35" s="11"/>
      <c r="K35" s="11"/>
      <c r="L35" s="12">
        <f t="shared" si="6"/>
        <v>0.52444292901322109</v>
      </c>
      <c r="M35" s="12">
        <f t="shared" si="7"/>
        <v>0.20632510464067524</v>
      </c>
      <c r="N35" s="17">
        <f t="shared" si="8"/>
        <v>2003.1702</v>
      </c>
      <c r="O35" s="17">
        <f>N35-'2''. Storage - some with diesel'!$AP35</f>
        <v>-9.9999988378840499E-7</v>
      </c>
      <c r="P35" s="1"/>
      <c r="Q35" s="2" t="s">
        <v>13</v>
      </c>
      <c r="R35" s="3">
        <v>0.97268399999999999</v>
      </c>
      <c r="S35" s="3">
        <v>0</v>
      </c>
      <c r="T35" s="3">
        <v>0</v>
      </c>
      <c r="U35" s="19">
        <v>531.51524900000004</v>
      </c>
      <c r="V35" s="19">
        <v>7.030208</v>
      </c>
      <c r="W35" s="19">
        <v>1050.5484469999999</v>
      </c>
      <c r="X35" s="19">
        <v>413.103612</v>
      </c>
      <c r="Y35" s="11"/>
      <c r="Z35" s="11"/>
      <c r="AA35" s="12">
        <f t="shared" si="9"/>
        <v>0.52444292901322109</v>
      </c>
      <c r="AB35" s="12"/>
      <c r="AC35" s="12">
        <f t="shared" si="10"/>
        <v>0.20632510464067524</v>
      </c>
      <c r="AD35" s="17">
        <f t="shared" si="11"/>
        <v>2003.1702</v>
      </c>
      <c r="AE35" s="17">
        <f>AD35-'2''. Storage - some with diesel'!$AP35</f>
        <v>-9.9999988378840499E-7</v>
      </c>
      <c r="AF35" s="1"/>
      <c r="AG35" s="2" t="s">
        <v>13</v>
      </c>
      <c r="AH35" s="3">
        <v>0.82279199999999997</v>
      </c>
      <c r="AI35" s="3">
        <v>0</v>
      </c>
      <c r="AJ35" s="3">
        <v>0</v>
      </c>
      <c r="AK35" s="19">
        <v>733.92470000000003</v>
      </c>
      <c r="AL35" s="19">
        <v>5.5911530000000003</v>
      </c>
      <c r="AM35" s="19">
        <v>676.27337799999998</v>
      </c>
      <c r="AN35" s="19">
        <v>586.558176</v>
      </c>
      <c r="AO35" s="11"/>
      <c r="AP35" s="11"/>
      <c r="AQ35" s="12">
        <f t="shared" si="12"/>
        <v>0.33760155694089372</v>
      </c>
      <c r="AR35" s="12"/>
      <c r="AS35" s="12">
        <f t="shared" si="13"/>
        <v>0.29293526884967769</v>
      </c>
      <c r="AT35" s="17">
        <f t="shared" si="14"/>
        <v>2003.1701990000001</v>
      </c>
      <c r="AU35" s="17">
        <f>AT35-'2''. Storage - some with diesel'!$AP35</f>
        <v>-1.99999976757681E-6</v>
      </c>
      <c r="AV35" s="1"/>
      <c r="AW35" s="2" t="s">
        <v>13</v>
      </c>
      <c r="AX35" s="3">
        <v>0.82279199999999997</v>
      </c>
      <c r="AY35" s="3">
        <v>0</v>
      </c>
      <c r="AZ35" s="3">
        <v>0</v>
      </c>
      <c r="BA35" s="3">
        <v>733.92470000000003</v>
      </c>
      <c r="BB35" s="3">
        <v>5.5911530000000003</v>
      </c>
      <c r="BC35" s="3">
        <v>682.68365200000005</v>
      </c>
      <c r="BD35" s="3">
        <v>580.14790200000004</v>
      </c>
      <c r="BE35" s="11"/>
      <c r="BF35" s="11"/>
      <c r="BG35" s="12">
        <f t="shared" si="15"/>
        <v>0.34080162152012927</v>
      </c>
      <c r="BH35" s="12"/>
      <c r="BI35" s="12">
        <f t="shared" si="16"/>
        <v>0.28973388932003646</v>
      </c>
      <c r="BJ35" s="17">
        <f t="shared" si="17"/>
        <v>2003.1701990000001</v>
      </c>
      <c r="BK35" s="17">
        <f>BJ35-'2''. Storage - some with diesel'!$AP35</f>
        <v>-1.99999976757681E-6</v>
      </c>
      <c r="BL35" s="1"/>
    </row>
    <row r="36" spans="1:64">
      <c r="A36" s="1"/>
      <c r="B36" s="2" t="s">
        <v>14</v>
      </c>
      <c r="C36" s="3" t="s">
        <v>10</v>
      </c>
      <c r="D36" s="3" t="s">
        <v>10</v>
      </c>
      <c r="E36" s="3">
        <v>0</v>
      </c>
      <c r="F36" s="19">
        <v>32.362682</v>
      </c>
      <c r="G36" s="19">
        <v>0</v>
      </c>
      <c r="H36" s="19">
        <v>61.559232999999999</v>
      </c>
      <c r="I36" s="19">
        <v>170.09678500000001</v>
      </c>
      <c r="J36" s="11"/>
      <c r="K36" s="11"/>
      <c r="L36" s="12">
        <f t="shared" si="6"/>
        <v>0.23316239720898554</v>
      </c>
      <c r="M36" s="12">
        <f t="shared" si="7"/>
        <v>0.64426036867843073</v>
      </c>
      <c r="N36" s="17">
        <f t="shared" si="8"/>
        <v>264.01870000000002</v>
      </c>
      <c r="O36" s="17">
        <f>N36-'2''. Storage - some with diesel'!$AP36</f>
        <v>0</v>
      </c>
      <c r="P36" s="1"/>
      <c r="Q36" s="2" t="s">
        <v>14</v>
      </c>
      <c r="R36" s="3" t="s">
        <v>10</v>
      </c>
      <c r="S36" s="3" t="s">
        <v>10</v>
      </c>
      <c r="T36" s="3">
        <v>0</v>
      </c>
      <c r="U36" s="19">
        <v>32.362682</v>
      </c>
      <c r="V36" s="19">
        <v>0</v>
      </c>
      <c r="W36" s="19">
        <v>61.559232999999999</v>
      </c>
      <c r="X36" s="19">
        <v>170.09678500000001</v>
      </c>
      <c r="Y36" s="11"/>
      <c r="Z36" s="11"/>
      <c r="AA36" s="12">
        <f t="shared" si="9"/>
        <v>0.23316239720898554</v>
      </c>
      <c r="AB36" s="12"/>
      <c r="AC36" s="12">
        <f t="shared" si="10"/>
        <v>0.64426036867843073</v>
      </c>
      <c r="AD36" s="17">
        <f t="shared" si="11"/>
        <v>264.01870000000002</v>
      </c>
      <c r="AE36" s="17">
        <f>AD36-'2''. Storage - some with diesel'!$AP36</f>
        <v>0</v>
      </c>
      <c r="AF36" s="1"/>
      <c r="AG36" s="2" t="s">
        <v>14</v>
      </c>
      <c r="AH36" s="3" t="s">
        <v>10</v>
      </c>
      <c r="AI36" s="3" t="s">
        <v>10</v>
      </c>
      <c r="AJ36" s="3">
        <v>0</v>
      </c>
      <c r="AK36" s="19">
        <v>105.77536499999999</v>
      </c>
      <c r="AL36" s="19">
        <v>0</v>
      </c>
      <c r="AM36" s="19">
        <v>40.577171</v>
      </c>
      <c r="AN36" s="19">
        <v>117.66616500000001</v>
      </c>
      <c r="AO36" s="11"/>
      <c r="AP36" s="11"/>
      <c r="AQ36" s="12">
        <f t="shared" si="12"/>
        <v>0.1536905183091557</v>
      </c>
      <c r="AR36" s="12"/>
      <c r="AS36" s="12">
        <f t="shared" si="13"/>
        <v>0.44567360021970576</v>
      </c>
      <c r="AT36" s="17">
        <f t="shared" si="14"/>
        <v>264.01870099999996</v>
      </c>
      <c r="AU36" s="17">
        <f>AT36-'2''. Storage - some with diesel'!$AP36</f>
        <v>9.9999994063182385E-7</v>
      </c>
      <c r="AV36" s="1"/>
      <c r="AW36" s="2" t="s">
        <v>14</v>
      </c>
      <c r="AX36" s="3" t="s">
        <v>10</v>
      </c>
      <c r="AY36" s="3" t="s">
        <v>10</v>
      </c>
      <c r="AZ36" s="3">
        <v>0</v>
      </c>
      <c r="BA36" s="3">
        <v>105.77536499999999</v>
      </c>
      <c r="BB36" s="3">
        <v>0</v>
      </c>
      <c r="BC36" s="3">
        <v>40.784837000000003</v>
      </c>
      <c r="BD36" s="3">
        <v>117.458499</v>
      </c>
      <c r="BE36" s="11"/>
      <c r="BF36" s="11"/>
      <c r="BG36" s="12">
        <f t="shared" si="15"/>
        <v>0.15447707622802068</v>
      </c>
      <c r="BH36" s="12"/>
      <c r="BI36" s="12">
        <f t="shared" si="16"/>
        <v>0.44488704230084064</v>
      </c>
      <c r="BJ36" s="17">
        <f t="shared" si="17"/>
        <v>264.01870100000002</v>
      </c>
      <c r="BK36" s="17">
        <f>BJ36-'2''. Storage - some with diesel'!$AP36</f>
        <v>9.9999999747524271E-7</v>
      </c>
      <c r="BL36" s="1"/>
    </row>
    <row r="37" spans="1:64">
      <c r="A37" s="1"/>
      <c r="B37" s="2" t="s">
        <v>15</v>
      </c>
      <c r="C37" s="3" t="s">
        <v>10</v>
      </c>
      <c r="D37" s="3" t="s">
        <v>10</v>
      </c>
      <c r="E37" s="3">
        <v>0</v>
      </c>
      <c r="F37" s="19">
        <v>210.879108</v>
      </c>
      <c r="G37" s="19" t="s">
        <v>10</v>
      </c>
      <c r="H37" s="19">
        <v>12.625571000000001</v>
      </c>
      <c r="I37" s="19">
        <v>215.193759</v>
      </c>
      <c r="J37" s="11"/>
      <c r="K37" s="11"/>
      <c r="L37" s="12">
        <f t="shared" si="6"/>
        <v>2.8779612386037264E-2</v>
      </c>
      <c r="M37" s="12">
        <f t="shared" si="7"/>
        <v>0.49052775291622991</v>
      </c>
      <c r="N37" s="17">
        <f t="shared" si="8"/>
        <v>438.69843800000001</v>
      </c>
      <c r="O37" s="17">
        <f>N37-'2''. Storage - some with diesel'!$AP37</f>
        <v>-34.740962999999965</v>
      </c>
      <c r="P37" s="1"/>
      <c r="Q37" s="2" t="s">
        <v>15</v>
      </c>
      <c r="R37" s="3" t="s">
        <v>10</v>
      </c>
      <c r="S37" s="3" t="s">
        <v>10</v>
      </c>
      <c r="T37" s="3">
        <v>0</v>
      </c>
      <c r="U37" s="19">
        <v>199.50504699999999</v>
      </c>
      <c r="V37" s="19" t="s">
        <v>10</v>
      </c>
      <c r="W37" s="19">
        <v>15.907693999999999</v>
      </c>
      <c r="X37" s="19">
        <v>222.48833200000001</v>
      </c>
      <c r="Y37" s="11"/>
      <c r="Z37" s="11"/>
      <c r="AA37" s="12">
        <f t="shared" si="9"/>
        <v>3.6327140947654171E-2</v>
      </c>
      <c r="AB37" s="12"/>
      <c r="AC37" s="12">
        <f t="shared" si="10"/>
        <v>0.50807898340089253</v>
      </c>
      <c r="AD37" s="17">
        <f t="shared" si="11"/>
        <v>437.901073</v>
      </c>
      <c r="AE37" s="17">
        <f>AD37-'2''. Storage - some with diesel'!$AP37</f>
        <v>-35.538327999999979</v>
      </c>
      <c r="AF37" s="1"/>
      <c r="AG37" s="2" t="s">
        <v>15</v>
      </c>
      <c r="AH37" s="3" t="s">
        <v>10</v>
      </c>
      <c r="AI37" s="3" t="s">
        <v>10</v>
      </c>
      <c r="AJ37" s="3">
        <v>0</v>
      </c>
      <c r="AK37" s="19">
        <v>319.98849100000001</v>
      </c>
      <c r="AL37" s="19" t="s">
        <v>10</v>
      </c>
      <c r="AM37" s="19">
        <v>68.689255000000003</v>
      </c>
      <c r="AN37" s="19">
        <v>399.16948000000002</v>
      </c>
      <c r="AO37" s="11"/>
      <c r="AP37" s="11"/>
      <c r="AQ37" s="12">
        <f t="shared" si="12"/>
        <v>8.7186008572682328E-2</v>
      </c>
      <c r="AR37" s="12"/>
      <c r="AS37" s="12">
        <f t="shared" si="13"/>
        <v>0.50665848254189316</v>
      </c>
      <c r="AT37" s="17">
        <f t="shared" si="14"/>
        <v>787.84722600000009</v>
      </c>
      <c r="AU37" s="17">
        <f>AT37-'2''. Storage - some with diesel'!$AP37</f>
        <v>314.40782500000012</v>
      </c>
      <c r="AV37" s="1"/>
      <c r="AW37" s="2" t="s">
        <v>15</v>
      </c>
      <c r="AX37" s="3" t="s">
        <v>10</v>
      </c>
      <c r="AY37" s="3" t="s">
        <v>10</v>
      </c>
      <c r="AZ37" s="3">
        <v>0</v>
      </c>
      <c r="BA37" s="3">
        <v>320.00596400000001</v>
      </c>
      <c r="BB37" s="3" t="s">
        <v>10</v>
      </c>
      <c r="BC37" s="3">
        <v>43.298378999999997</v>
      </c>
      <c r="BD37" s="3">
        <v>235.63947400000001</v>
      </c>
      <c r="BE37" s="11"/>
      <c r="BF37" s="11"/>
      <c r="BG37" s="12">
        <f t="shared" si="15"/>
        <v>7.2291219595309708E-2</v>
      </c>
      <c r="BH37" s="12"/>
      <c r="BI37" s="12">
        <f t="shared" si="16"/>
        <v>0.39342500466951141</v>
      </c>
      <c r="BJ37" s="17">
        <f t="shared" si="17"/>
        <v>598.94381700000008</v>
      </c>
      <c r="BK37" s="17">
        <f>BJ37-'2''. Storage - some with diesel'!$AP37</f>
        <v>125.50441600000011</v>
      </c>
      <c r="BL37" s="1"/>
    </row>
    <row r="38" spans="1:64">
      <c r="A38" s="1"/>
      <c r="B38" s="2" t="s">
        <v>16</v>
      </c>
      <c r="C38" s="3" t="s">
        <v>10</v>
      </c>
      <c r="D38" s="3" t="s">
        <v>10</v>
      </c>
      <c r="E38" s="3">
        <v>0</v>
      </c>
      <c r="F38" s="19">
        <v>8.0274439999999991</v>
      </c>
      <c r="G38" s="19" t="s">
        <v>10</v>
      </c>
      <c r="H38" s="19">
        <v>5.1861110000000004</v>
      </c>
      <c r="I38" s="19">
        <v>3.1769639999999999</v>
      </c>
      <c r="J38" s="11"/>
      <c r="K38" s="11"/>
      <c r="L38" s="12">
        <f t="shared" si="6"/>
        <v>0.31640919973308967</v>
      </c>
      <c r="M38" s="12">
        <f t="shared" si="7"/>
        <v>0.19382937172398265</v>
      </c>
      <c r="N38" s="17">
        <f t="shared" si="8"/>
        <v>16.390518999999998</v>
      </c>
      <c r="O38" s="17">
        <f>N38-'2''. Storage - some with diesel'!$AP38</f>
        <v>-1.0000000010279564E-6</v>
      </c>
      <c r="P38" s="1"/>
      <c r="Q38" s="2" t="s">
        <v>16</v>
      </c>
      <c r="R38" s="3" t="s">
        <v>10</v>
      </c>
      <c r="S38" s="3" t="s">
        <v>10</v>
      </c>
      <c r="T38" s="3">
        <v>0</v>
      </c>
      <c r="U38" s="19">
        <v>8.0274439999999991</v>
      </c>
      <c r="V38" s="19" t="s">
        <v>10</v>
      </c>
      <c r="W38" s="19">
        <v>5.1861110000000004</v>
      </c>
      <c r="X38" s="19">
        <v>3.1769639999999999</v>
      </c>
      <c r="Y38" s="11"/>
      <c r="Z38" s="11"/>
      <c r="AA38" s="12">
        <f t="shared" si="9"/>
        <v>0.31640919973308967</v>
      </c>
      <c r="AB38" s="12"/>
      <c r="AC38" s="12">
        <f t="shared" si="10"/>
        <v>0.19382937172398265</v>
      </c>
      <c r="AD38" s="17">
        <f t="shared" si="11"/>
        <v>16.390518999999998</v>
      </c>
      <c r="AE38" s="17">
        <f>AD38-'2''. Storage - some with diesel'!$AP38</f>
        <v>-1.0000000010279564E-6</v>
      </c>
      <c r="AF38" s="1"/>
      <c r="AG38" s="2" t="s">
        <v>16</v>
      </c>
      <c r="AH38" s="3" t="s">
        <v>10</v>
      </c>
      <c r="AI38" s="3" t="s">
        <v>10</v>
      </c>
      <c r="AJ38" s="3">
        <v>0</v>
      </c>
      <c r="AK38" s="19">
        <v>8.0274439999999991</v>
      </c>
      <c r="AL38" s="19" t="s">
        <v>10</v>
      </c>
      <c r="AM38" s="19">
        <v>5.371899</v>
      </c>
      <c r="AN38" s="19">
        <v>2.9911759999999998</v>
      </c>
      <c r="AO38" s="11"/>
      <c r="AP38" s="11"/>
      <c r="AQ38" s="12">
        <f t="shared" si="12"/>
        <v>0.32774428924428817</v>
      </c>
      <c r="AR38" s="12"/>
      <c r="AS38" s="12">
        <f t="shared" si="13"/>
        <v>0.18249428221278413</v>
      </c>
      <c r="AT38" s="17">
        <f t="shared" si="14"/>
        <v>16.390518999999998</v>
      </c>
      <c r="AU38" s="17">
        <f>AT38-'2''. Storage - some with diesel'!$AP38</f>
        <v>-1.0000000010279564E-6</v>
      </c>
      <c r="AV38" s="1"/>
      <c r="AW38" s="2" t="s">
        <v>16</v>
      </c>
      <c r="AX38" s="3" t="s">
        <v>10</v>
      </c>
      <c r="AY38" s="3" t="s">
        <v>10</v>
      </c>
      <c r="AZ38" s="3">
        <v>0</v>
      </c>
      <c r="BA38" s="3">
        <v>8.0274439999999991</v>
      </c>
      <c r="BB38" s="3" t="s">
        <v>10</v>
      </c>
      <c r="BC38" s="3">
        <v>5.3626800000000001</v>
      </c>
      <c r="BD38" s="3">
        <v>3.0003950000000001</v>
      </c>
      <c r="BE38" s="11"/>
      <c r="BF38" s="11"/>
      <c r="BG38" s="12">
        <f t="shared" si="15"/>
        <v>0.32718182993473238</v>
      </c>
      <c r="BH38" s="12"/>
      <c r="BI38" s="12">
        <f t="shared" si="16"/>
        <v>0.18305674152233983</v>
      </c>
      <c r="BJ38" s="17">
        <f t="shared" si="17"/>
        <v>16.390519000000001</v>
      </c>
      <c r="BK38" s="17">
        <f>BJ38-'2''. Storage - some with diesel'!$AP38</f>
        <v>-9.9999999747524271E-7</v>
      </c>
      <c r="BL38" s="1"/>
    </row>
    <row r="39" spans="1:64">
      <c r="A39" s="1"/>
      <c r="B39" s="2" t="s">
        <v>17</v>
      </c>
      <c r="C39" s="3">
        <v>6.1834980000000002</v>
      </c>
      <c r="D39" s="3" t="s">
        <v>10</v>
      </c>
      <c r="E39" s="3">
        <v>0</v>
      </c>
      <c r="F39" s="19">
        <v>437.91514699999999</v>
      </c>
      <c r="G39" s="19" t="s">
        <v>10</v>
      </c>
      <c r="H39" s="19">
        <v>367.86200300000002</v>
      </c>
      <c r="I39" s="19">
        <v>1009.112652</v>
      </c>
      <c r="J39" s="11"/>
      <c r="K39" s="11"/>
      <c r="L39" s="12">
        <f t="shared" si="6"/>
        <v>0.20200285348206468</v>
      </c>
      <c r="M39" s="12">
        <f t="shared" si="7"/>
        <v>0.55601869099047363</v>
      </c>
      <c r="N39" s="17">
        <f t="shared" si="8"/>
        <v>1821.0733</v>
      </c>
      <c r="O39" s="17">
        <f>N39-'2''. Storage - some with diesel'!$AP39</f>
        <v>0</v>
      </c>
      <c r="P39" s="1"/>
      <c r="Q39" s="2" t="s">
        <v>17</v>
      </c>
      <c r="R39" s="3">
        <v>6.1834980000000002</v>
      </c>
      <c r="S39" s="3" t="s">
        <v>10</v>
      </c>
      <c r="T39" s="3">
        <v>0</v>
      </c>
      <c r="U39" s="19">
        <v>437.91514699999999</v>
      </c>
      <c r="V39" s="19" t="s">
        <v>10</v>
      </c>
      <c r="W39" s="19">
        <v>367.86200300000002</v>
      </c>
      <c r="X39" s="19">
        <v>1009.112652</v>
      </c>
      <c r="Y39" s="11"/>
      <c r="Z39" s="11"/>
      <c r="AA39" s="12">
        <f t="shared" si="9"/>
        <v>0.20200285348206468</v>
      </c>
      <c r="AB39" s="12"/>
      <c r="AC39" s="12">
        <f t="shared" si="10"/>
        <v>0.55601869099047363</v>
      </c>
      <c r="AD39" s="17">
        <f t="shared" si="11"/>
        <v>1821.0733</v>
      </c>
      <c r="AE39" s="17">
        <f>AD39-'2''. Storage - some with diesel'!$AP39</f>
        <v>0</v>
      </c>
      <c r="AF39" s="1"/>
      <c r="AG39" s="2" t="s">
        <v>17</v>
      </c>
      <c r="AH39" s="3">
        <v>7.3353409999999997</v>
      </c>
      <c r="AI39" s="3" t="s">
        <v>10</v>
      </c>
      <c r="AJ39" s="3">
        <v>0</v>
      </c>
      <c r="AK39" s="19">
        <v>593.48453600000005</v>
      </c>
      <c r="AL39" s="19" t="s">
        <v>10</v>
      </c>
      <c r="AM39" s="19">
        <v>381.76537200000001</v>
      </c>
      <c r="AN39" s="19">
        <v>838.48805200000004</v>
      </c>
      <c r="AO39" s="11"/>
      <c r="AP39" s="11"/>
      <c r="AQ39" s="12">
        <f t="shared" si="12"/>
        <v>0.20963756472096015</v>
      </c>
      <c r="AR39" s="12"/>
      <c r="AS39" s="12">
        <f t="shared" si="13"/>
        <v>0.46229834214860899</v>
      </c>
      <c r="AT39" s="17">
        <f t="shared" si="14"/>
        <v>1821.0733009999999</v>
      </c>
      <c r="AU39" s="17">
        <f>AT39-'2''. Storage - some with diesel'!$AP39</f>
        <v>9.9999988378840499E-7</v>
      </c>
      <c r="AV39" s="1"/>
      <c r="AW39" s="2" t="s">
        <v>17</v>
      </c>
      <c r="AX39" s="3">
        <v>7.3353409999999997</v>
      </c>
      <c r="AY39" s="3" t="s">
        <v>10</v>
      </c>
      <c r="AZ39" s="3">
        <v>0</v>
      </c>
      <c r="BA39" s="3">
        <v>593.48453600000005</v>
      </c>
      <c r="BB39" s="3" t="s">
        <v>10</v>
      </c>
      <c r="BC39" s="3">
        <v>384.93430599999999</v>
      </c>
      <c r="BD39" s="3">
        <v>835.319118</v>
      </c>
      <c r="BE39" s="11"/>
      <c r="BF39" s="11"/>
      <c r="BG39" s="12">
        <f t="shared" si="15"/>
        <v>0.21137771103921094</v>
      </c>
      <c r="BH39" s="12"/>
      <c r="BI39" s="12">
        <f t="shared" si="16"/>
        <v>0.46055115811768094</v>
      </c>
      <c r="BJ39" s="17">
        <f t="shared" si="17"/>
        <v>1821.0733009999999</v>
      </c>
      <c r="BK39" s="17">
        <f>BJ39-'2''. Storage - some with diesel'!$AP39</f>
        <v>9.9999988378840499E-7</v>
      </c>
      <c r="BL39" s="1"/>
    </row>
    <row r="40" spans="1:64">
      <c r="A40" s="1"/>
      <c r="B40" s="2" t="s">
        <v>18</v>
      </c>
      <c r="C40" s="3" t="s">
        <v>10</v>
      </c>
      <c r="D40" s="3" t="s">
        <v>10</v>
      </c>
      <c r="E40" s="3">
        <v>0</v>
      </c>
      <c r="F40" s="19">
        <v>249.59828300000001</v>
      </c>
      <c r="G40" s="19" t="s">
        <v>10</v>
      </c>
      <c r="H40" s="19">
        <v>1.726898</v>
      </c>
      <c r="I40" s="19">
        <v>7.0553790000000003</v>
      </c>
      <c r="J40" s="11"/>
      <c r="K40" s="11"/>
      <c r="L40" s="12">
        <f t="shared" si="6"/>
        <v>6.6835446134182854E-3</v>
      </c>
      <c r="M40" s="12">
        <f t="shared" si="7"/>
        <v>2.7306152599096467E-2</v>
      </c>
      <c r="N40" s="17">
        <f t="shared" si="8"/>
        <v>258.38056</v>
      </c>
      <c r="O40" s="17">
        <f>N40-'2''. Storage - some with diesel'!$AP40</f>
        <v>-14.80228900000003</v>
      </c>
      <c r="P40" s="1"/>
      <c r="Q40" s="2" t="s">
        <v>18</v>
      </c>
      <c r="R40" s="3" t="s">
        <v>10</v>
      </c>
      <c r="S40" s="3" t="s">
        <v>10</v>
      </c>
      <c r="T40" s="3">
        <v>0</v>
      </c>
      <c r="U40" s="19">
        <v>249.59828300000001</v>
      </c>
      <c r="V40" s="19" t="s">
        <v>10</v>
      </c>
      <c r="W40" s="19">
        <v>1.726898</v>
      </c>
      <c r="X40" s="19">
        <v>7.0539750000000003</v>
      </c>
      <c r="Y40" s="11"/>
      <c r="Z40" s="11"/>
      <c r="AA40" s="12">
        <f t="shared" si="9"/>
        <v>6.6835809309633313E-3</v>
      </c>
      <c r="AB40" s="12"/>
      <c r="AC40" s="12">
        <f t="shared" si="10"/>
        <v>2.7300867102453108E-2</v>
      </c>
      <c r="AD40" s="17">
        <f t="shared" si="11"/>
        <v>258.37915600000002</v>
      </c>
      <c r="AE40" s="17">
        <f>AD40-'2''. Storage - some with diesel'!$AP40</f>
        <v>-14.80369300000001</v>
      </c>
      <c r="AF40" s="1"/>
      <c r="AG40" s="2" t="s">
        <v>18</v>
      </c>
      <c r="AH40" s="3" t="s">
        <v>10</v>
      </c>
      <c r="AI40" s="3" t="s">
        <v>10</v>
      </c>
      <c r="AJ40" s="3">
        <v>0</v>
      </c>
      <c r="AK40" s="19">
        <v>306.13556899999998</v>
      </c>
      <c r="AL40" s="19" t="s">
        <v>10</v>
      </c>
      <c r="AM40" s="19">
        <v>1.586829</v>
      </c>
      <c r="AN40" s="19">
        <v>7.4516210000000003</v>
      </c>
      <c r="AO40" s="11"/>
      <c r="AP40" s="11"/>
      <c r="AQ40" s="12">
        <f t="shared" si="12"/>
        <v>5.0347709656867372E-3</v>
      </c>
      <c r="AR40" s="12"/>
      <c r="AS40" s="12">
        <f t="shared" si="13"/>
        <v>2.3642878380784303E-2</v>
      </c>
      <c r="AT40" s="17">
        <f t="shared" si="14"/>
        <v>315.17401899999999</v>
      </c>
      <c r="AU40" s="17">
        <f>AT40-'2''. Storage - some with diesel'!$AP40</f>
        <v>41.991169999999954</v>
      </c>
      <c r="AV40" s="1"/>
      <c r="AW40" s="2" t="s">
        <v>18</v>
      </c>
      <c r="AX40" s="3" t="s">
        <v>10</v>
      </c>
      <c r="AY40" s="3" t="s">
        <v>10</v>
      </c>
      <c r="AZ40" s="3">
        <v>0</v>
      </c>
      <c r="BA40" s="3">
        <v>298.28114599999998</v>
      </c>
      <c r="BB40" s="3" t="s">
        <v>10</v>
      </c>
      <c r="BC40" s="3">
        <v>1.6095170000000001</v>
      </c>
      <c r="BD40" s="3">
        <v>7.5330599999999999</v>
      </c>
      <c r="BE40" s="11"/>
      <c r="BF40" s="11"/>
      <c r="BG40" s="12">
        <f t="shared" si="15"/>
        <v>5.2355003195378013E-3</v>
      </c>
      <c r="BH40" s="12"/>
      <c r="BI40" s="12">
        <f t="shared" si="16"/>
        <v>2.4503834403176494E-2</v>
      </c>
      <c r="BJ40" s="17">
        <f t="shared" si="17"/>
        <v>307.42372299999994</v>
      </c>
      <c r="BK40" s="17">
        <f>BJ40-'2''. Storage - some with diesel'!$AP40</f>
        <v>34.240873999999906</v>
      </c>
      <c r="BL40" s="1"/>
    </row>
    <row r="41" spans="1:64">
      <c r="A41" s="1"/>
      <c r="B41" s="2" t="s">
        <v>19</v>
      </c>
      <c r="C41" s="3" t="s">
        <v>10</v>
      </c>
      <c r="D41" s="3" t="s">
        <v>10</v>
      </c>
      <c r="E41" s="3">
        <v>0</v>
      </c>
      <c r="F41" s="19">
        <v>0</v>
      </c>
      <c r="G41" s="19">
        <v>2.0001950000000002</v>
      </c>
      <c r="H41" s="19">
        <v>22.862228999999999</v>
      </c>
      <c r="I41" s="19">
        <v>137.31546599999999</v>
      </c>
      <c r="J41" s="11"/>
      <c r="K41" s="11"/>
      <c r="L41" s="12">
        <f t="shared" si="6"/>
        <v>0.14097007304756523</v>
      </c>
      <c r="M41" s="12">
        <f t="shared" si="7"/>
        <v>0.84669658730915787</v>
      </c>
      <c r="N41" s="17">
        <f t="shared" si="8"/>
        <v>162.17788999999999</v>
      </c>
      <c r="O41" s="17">
        <f>N41-'2''. Storage - some with diesel'!$AP41</f>
        <v>-19.938710000000015</v>
      </c>
      <c r="P41" s="1"/>
      <c r="Q41" s="2" t="s">
        <v>19</v>
      </c>
      <c r="R41" s="3" t="s">
        <v>10</v>
      </c>
      <c r="S41" s="3" t="s">
        <v>10</v>
      </c>
      <c r="T41" s="3">
        <v>0</v>
      </c>
      <c r="U41" s="19">
        <v>0</v>
      </c>
      <c r="V41" s="19">
        <v>1.8598680000000001</v>
      </c>
      <c r="W41" s="19">
        <v>24.841099</v>
      </c>
      <c r="X41" s="19">
        <v>138.32556600000001</v>
      </c>
      <c r="Y41" s="11"/>
      <c r="Z41" s="11"/>
      <c r="AA41" s="12">
        <f t="shared" si="9"/>
        <v>0.15052790935140109</v>
      </c>
      <c r="AB41" s="12"/>
      <c r="AC41" s="12">
        <f t="shared" si="10"/>
        <v>0.83820197567866261</v>
      </c>
      <c r="AD41" s="17">
        <f t="shared" si="11"/>
        <v>165.026533</v>
      </c>
      <c r="AE41" s="17">
        <f>AD41-'2''. Storage - some with diesel'!$AP41</f>
        <v>-17.090067000000005</v>
      </c>
      <c r="AF41" s="1"/>
      <c r="AG41" s="2" t="s">
        <v>19</v>
      </c>
      <c r="AH41" s="3" t="s">
        <v>10</v>
      </c>
      <c r="AI41" s="3" t="s">
        <v>10</v>
      </c>
      <c r="AJ41" s="3">
        <v>0</v>
      </c>
      <c r="AK41" s="19">
        <v>116.88241600000001</v>
      </c>
      <c r="AL41" s="19">
        <v>4.4679979999999997</v>
      </c>
      <c r="AM41" s="19">
        <v>16.682157</v>
      </c>
      <c r="AN41" s="19">
        <v>0</v>
      </c>
      <c r="AO41" s="11"/>
      <c r="AP41" s="11"/>
      <c r="AQ41" s="12">
        <f t="shared" si="12"/>
        <v>0.12085667085053427</v>
      </c>
      <c r="AR41" s="12"/>
      <c r="AS41" s="12">
        <f t="shared" si="13"/>
        <v>0</v>
      </c>
      <c r="AT41" s="17">
        <f t="shared" si="14"/>
        <v>138.03257099999999</v>
      </c>
      <c r="AU41" s="17">
        <f>AT41-'2''. Storage - some with diesel'!$AP41</f>
        <v>-44.084029000000015</v>
      </c>
      <c r="AV41" s="1"/>
      <c r="AW41" s="2" t="s">
        <v>19</v>
      </c>
      <c r="AX41" s="3" t="s">
        <v>10</v>
      </c>
      <c r="AY41" s="3" t="s">
        <v>10</v>
      </c>
      <c r="AZ41" s="3">
        <v>0</v>
      </c>
      <c r="BA41" s="3">
        <v>147.792619</v>
      </c>
      <c r="BB41" s="3">
        <v>4.3094140000000003</v>
      </c>
      <c r="BC41" s="3">
        <v>1.7384539999999999</v>
      </c>
      <c r="BD41" s="3">
        <v>0</v>
      </c>
      <c r="BE41" s="11"/>
      <c r="BF41" s="11"/>
      <c r="BG41" s="12">
        <f t="shared" si="15"/>
        <v>1.1300367243377227E-2</v>
      </c>
      <c r="BH41" s="12"/>
      <c r="BI41" s="12">
        <f t="shared" si="16"/>
        <v>0</v>
      </c>
      <c r="BJ41" s="17">
        <f t="shared" si="17"/>
        <v>153.840487</v>
      </c>
      <c r="BK41" s="17">
        <f>BJ41-'2''. Storage - some with diesel'!$AP41</f>
        <v>-28.276113000000009</v>
      </c>
      <c r="BL41" s="1"/>
    </row>
    <row r="42" spans="1:64">
      <c r="A42" s="1"/>
      <c r="P42" s="1"/>
      <c r="AF42" s="1"/>
      <c r="AV42" s="1"/>
      <c r="BL42" s="1"/>
    </row>
    <row r="43" spans="1:64">
      <c r="A43" s="1"/>
      <c r="B43" s="2" t="s">
        <v>9</v>
      </c>
      <c r="C43" t="e">
        <f t="shared" ref="C43:I43" si="18">C32/(C19*8.76)</f>
        <v>#VALUE!</v>
      </c>
      <c r="D43" t="e">
        <f t="shared" si="18"/>
        <v>#VALUE!</v>
      </c>
      <c r="E43" s="6" t="e">
        <f t="shared" si="18"/>
        <v>#DIV/0!</v>
      </c>
      <c r="F43" s="6" t="e">
        <f t="shared" si="18"/>
        <v>#VALUE!</v>
      </c>
      <c r="G43" s="6" t="e">
        <f t="shared" si="18"/>
        <v>#VALUE!</v>
      </c>
      <c r="H43" s="6">
        <f t="shared" si="18"/>
        <v>7.9058235133547414E-2</v>
      </c>
      <c r="I43" s="6">
        <f t="shared" si="18"/>
        <v>0.39319739019564159</v>
      </c>
      <c r="J43" s="6"/>
      <c r="K43" s="6"/>
      <c r="L43" s="6"/>
      <c r="M43" s="6"/>
      <c r="N43" s="6"/>
      <c r="O43" s="6"/>
      <c r="P43" s="1"/>
      <c r="Q43" s="2" t="s">
        <v>9</v>
      </c>
      <c r="R43" t="e">
        <f t="shared" ref="R43:X43" si="19">R32/(R19*8.76)</f>
        <v>#VALUE!</v>
      </c>
      <c r="S43" t="e">
        <f t="shared" si="19"/>
        <v>#VALUE!</v>
      </c>
      <c r="T43" s="6" t="e">
        <f t="shared" si="19"/>
        <v>#DIV/0!</v>
      </c>
      <c r="U43" s="6" t="e">
        <f t="shared" si="19"/>
        <v>#VALUE!</v>
      </c>
      <c r="V43" s="6" t="e">
        <f t="shared" si="19"/>
        <v>#VALUE!</v>
      </c>
      <c r="W43" s="6">
        <f t="shared" si="19"/>
        <v>7.9058235133547414E-2</v>
      </c>
      <c r="X43" s="6">
        <f t="shared" si="19"/>
        <v>0.39320006822965348</v>
      </c>
      <c r="Y43" s="6"/>
      <c r="Z43" s="6"/>
      <c r="AA43" s="6"/>
      <c r="AB43" s="6"/>
      <c r="AC43" s="6"/>
      <c r="AD43" s="6"/>
      <c r="AE43" s="6"/>
      <c r="AF43" s="1"/>
      <c r="AG43" s="2" t="s">
        <v>9</v>
      </c>
      <c r="AH43" t="e">
        <f t="shared" ref="AH43:AN43" si="20">AH32/(AH19*8.76)</f>
        <v>#VALUE!</v>
      </c>
      <c r="AI43" t="e">
        <f t="shared" si="20"/>
        <v>#VALUE!</v>
      </c>
      <c r="AJ43" s="6" t="e">
        <f t="shared" si="20"/>
        <v>#DIV/0!</v>
      </c>
      <c r="AK43" s="6" t="e">
        <f t="shared" si="20"/>
        <v>#VALUE!</v>
      </c>
      <c r="AL43" s="6" t="e">
        <f t="shared" si="20"/>
        <v>#VALUE!</v>
      </c>
      <c r="AM43" s="6">
        <f t="shared" si="20"/>
        <v>0.11656718592059802</v>
      </c>
      <c r="AN43" s="6">
        <f t="shared" si="20"/>
        <v>0.40715205682604827</v>
      </c>
      <c r="AO43" s="6"/>
      <c r="AP43" s="6"/>
      <c r="AQ43" s="6"/>
      <c r="AR43" s="6"/>
      <c r="AS43" s="6"/>
      <c r="AT43" s="6"/>
      <c r="AU43" s="6"/>
      <c r="AV43" s="1"/>
      <c r="AW43" s="2" t="s">
        <v>9</v>
      </c>
      <c r="AX43" t="e">
        <f t="shared" ref="AX43:BD43" si="21">AX32/(AX19*8.76)</f>
        <v>#VALUE!</v>
      </c>
      <c r="AY43" t="e">
        <f t="shared" si="21"/>
        <v>#VALUE!</v>
      </c>
      <c r="AZ43" s="6" t="e">
        <f t="shared" si="21"/>
        <v>#DIV/0!</v>
      </c>
      <c r="BA43" s="6" t="e">
        <f t="shared" si="21"/>
        <v>#VALUE!</v>
      </c>
      <c r="BB43" s="6" t="e">
        <f t="shared" si="21"/>
        <v>#VALUE!</v>
      </c>
      <c r="BC43" s="6">
        <f t="shared" si="21"/>
        <v>0.11609594301050515</v>
      </c>
      <c r="BD43" s="6">
        <f t="shared" si="21"/>
        <v>0.4085522412220125</v>
      </c>
      <c r="BE43" s="6"/>
      <c r="BF43" s="6"/>
      <c r="BG43" s="6"/>
      <c r="BH43" s="6"/>
      <c r="BI43" s="6"/>
      <c r="BJ43" s="6"/>
      <c r="BK43" s="6"/>
      <c r="BL43" s="1"/>
    </row>
    <row r="44" spans="1:64">
      <c r="A44" s="1"/>
      <c r="B44" s="2" t="s">
        <v>11</v>
      </c>
      <c r="C44">
        <f t="shared" ref="C44:I44" si="22">C33/(C20*8.76)</f>
        <v>1.8705125570776256E-2</v>
      </c>
      <c r="D44" t="e">
        <f t="shared" si="22"/>
        <v>#VALUE!</v>
      </c>
      <c r="E44" s="6" t="e">
        <f t="shared" si="22"/>
        <v>#DIV/0!</v>
      </c>
      <c r="F44" s="6" t="e">
        <f t="shared" si="22"/>
        <v>#VALUE!</v>
      </c>
      <c r="G44" s="6" t="e">
        <f t="shared" si="22"/>
        <v>#VALUE!</v>
      </c>
      <c r="H44" s="6">
        <f t="shared" si="22"/>
        <v>0.13624622847072018</v>
      </c>
      <c r="I44" s="6">
        <f t="shared" si="22"/>
        <v>0.43733526255707766</v>
      </c>
      <c r="J44" s="6"/>
      <c r="K44" s="6"/>
      <c r="L44" s="6"/>
      <c r="M44" s="6"/>
      <c r="N44" s="6"/>
      <c r="O44" s="6"/>
      <c r="P44" s="1"/>
      <c r="Q44" s="2" t="s">
        <v>11</v>
      </c>
      <c r="R44">
        <f t="shared" ref="R44:X44" si="23">R33/(R20*8.76)</f>
        <v>1.6235936073059364E-2</v>
      </c>
      <c r="S44" t="e">
        <f t="shared" si="23"/>
        <v>#VALUE!</v>
      </c>
      <c r="T44" s="6" t="e">
        <f t="shared" si="23"/>
        <v>#DIV/0!</v>
      </c>
      <c r="U44" s="6" t="e">
        <f t="shared" si="23"/>
        <v>#VALUE!</v>
      </c>
      <c r="V44" s="6" t="e">
        <f t="shared" si="23"/>
        <v>#VALUE!</v>
      </c>
      <c r="W44" s="6">
        <f t="shared" si="23"/>
        <v>0.13593663962989666</v>
      </c>
      <c r="X44" s="6">
        <f t="shared" si="23"/>
        <v>0.4371152184170472</v>
      </c>
      <c r="Y44" s="6"/>
      <c r="Z44" s="6"/>
      <c r="AA44" s="6"/>
      <c r="AB44" s="6"/>
      <c r="AC44" s="6"/>
      <c r="AD44" s="6"/>
      <c r="AE44" s="6"/>
      <c r="AF44" s="1"/>
      <c r="AG44" s="2" t="s">
        <v>11</v>
      </c>
      <c r="AH44">
        <f t="shared" ref="AH44:AN44" si="24">AH33/(AH20*8.76)</f>
        <v>1.6668812785388131E-2</v>
      </c>
      <c r="AI44" t="e">
        <f t="shared" si="24"/>
        <v>#VALUE!</v>
      </c>
      <c r="AJ44" s="6" t="e">
        <f t="shared" si="24"/>
        <v>#DIV/0!</v>
      </c>
      <c r="AK44" s="6" t="e">
        <f t="shared" si="24"/>
        <v>#VALUE!</v>
      </c>
      <c r="AL44" s="6" t="e">
        <f t="shared" si="24"/>
        <v>#VALUE!</v>
      </c>
      <c r="AM44" s="6">
        <f t="shared" si="24"/>
        <v>0.12041006328606907</v>
      </c>
      <c r="AN44" s="6">
        <f t="shared" si="24"/>
        <v>0.4439420966998312</v>
      </c>
      <c r="AO44" s="6"/>
      <c r="AP44" s="6"/>
      <c r="AQ44" s="6"/>
      <c r="AR44" s="6"/>
      <c r="AS44" s="6"/>
      <c r="AT44" s="6"/>
      <c r="AU44" s="6"/>
      <c r="AV44" s="1"/>
      <c r="AW44" s="2" t="s">
        <v>11</v>
      </c>
      <c r="AX44">
        <f t="shared" ref="AX44:BD44" si="25">AX33/(AX20*8.76)</f>
        <v>1.4336541095890411E-2</v>
      </c>
      <c r="AY44" t="e">
        <f t="shared" si="25"/>
        <v>#VALUE!</v>
      </c>
      <c r="AZ44" s="6" t="e">
        <f t="shared" si="25"/>
        <v>#DIV/0!</v>
      </c>
      <c r="BA44" s="6" t="e">
        <f t="shared" si="25"/>
        <v>#VALUE!</v>
      </c>
      <c r="BB44" s="6" t="e">
        <f t="shared" si="25"/>
        <v>#VALUE!</v>
      </c>
      <c r="BC44" s="6">
        <f t="shared" si="25"/>
        <v>0.11347007750540736</v>
      </c>
      <c r="BD44" s="6">
        <f t="shared" si="25"/>
        <v>0.40856858828006082</v>
      </c>
      <c r="BE44" s="6"/>
      <c r="BF44" s="6"/>
      <c r="BG44" s="6"/>
      <c r="BH44" s="6"/>
      <c r="BI44" s="6"/>
      <c r="BJ44" s="6"/>
      <c r="BK44" s="6"/>
      <c r="BL44" s="1"/>
    </row>
    <row r="45" spans="1:64">
      <c r="A45" s="1"/>
      <c r="B45" s="2" t="s">
        <v>12</v>
      </c>
      <c r="C45" t="e">
        <f t="shared" ref="C45:I45" si="26">C34/(C21*8.76)</f>
        <v>#VALUE!</v>
      </c>
      <c r="D45" t="e">
        <f t="shared" si="26"/>
        <v>#VALUE!</v>
      </c>
      <c r="E45" s="6" t="e">
        <f t="shared" si="26"/>
        <v>#DIV/0!</v>
      </c>
      <c r="F45" s="6">
        <f t="shared" si="26"/>
        <v>0.62965905631659058</v>
      </c>
      <c r="G45" s="6">
        <f t="shared" si="26"/>
        <v>0.7738982288639823</v>
      </c>
      <c r="H45" s="6" t="e">
        <f t="shared" si="26"/>
        <v>#DIV/0!</v>
      </c>
      <c r="I45" s="6" t="e">
        <f t="shared" si="26"/>
        <v>#DIV/0!</v>
      </c>
      <c r="J45" s="6"/>
      <c r="K45" s="6"/>
      <c r="L45" s="6"/>
      <c r="M45" s="6"/>
      <c r="N45" s="6"/>
      <c r="O45" s="6"/>
      <c r="P45" s="1"/>
      <c r="Q45" s="2" t="s">
        <v>12</v>
      </c>
      <c r="R45" t="e">
        <f t="shared" ref="R45:X45" si="27">R34/(R21*8.76)</f>
        <v>#VALUE!</v>
      </c>
      <c r="S45" t="e">
        <f t="shared" si="27"/>
        <v>#VALUE!</v>
      </c>
      <c r="T45" s="6" t="e">
        <f t="shared" si="27"/>
        <v>#DIV/0!</v>
      </c>
      <c r="U45" s="6">
        <f t="shared" si="27"/>
        <v>0.62965905631659058</v>
      </c>
      <c r="V45" s="6">
        <f t="shared" si="27"/>
        <v>0.7738982288639823</v>
      </c>
      <c r="W45" s="6" t="e">
        <f t="shared" si="27"/>
        <v>#DIV/0!</v>
      </c>
      <c r="X45" s="6" t="e">
        <f t="shared" si="27"/>
        <v>#DIV/0!</v>
      </c>
      <c r="Y45" s="6"/>
      <c r="Z45" s="6"/>
      <c r="AA45" s="6"/>
      <c r="AB45" s="6"/>
      <c r="AC45" s="6"/>
      <c r="AD45" s="6"/>
      <c r="AE45" s="6"/>
      <c r="AF45" s="1"/>
      <c r="AG45" s="2" t="s">
        <v>12</v>
      </c>
      <c r="AH45" t="e">
        <f t="shared" ref="AH45:AN45" si="28">AH34/(AH21*8.76)</f>
        <v>#VALUE!</v>
      </c>
      <c r="AI45" t="e">
        <f t="shared" si="28"/>
        <v>#VALUE!</v>
      </c>
      <c r="AJ45" s="6" t="e">
        <f t="shared" si="28"/>
        <v>#DIV/0!</v>
      </c>
      <c r="AK45" s="6">
        <f t="shared" si="28"/>
        <v>0.62965905631659058</v>
      </c>
      <c r="AL45" s="6">
        <f t="shared" si="28"/>
        <v>0.7738982288639823</v>
      </c>
      <c r="AM45" s="6" t="e">
        <f t="shared" si="28"/>
        <v>#DIV/0!</v>
      </c>
      <c r="AN45" s="6" t="e">
        <f t="shared" si="28"/>
        <v>#DIV/0!</v>
      </c>
      <c r="AO45" s="6"/>
      <c r="AP45" s="6"/>
      <c r="AQ45" s="6"/>
      <c r="AR45" s="6"/>
      <c r="AS45" s="6"/>
      <c r="AT45" s="6"/>
      <c r="AU45" s="6"/>
      <c r="AV45" s="1"/>
      <c r="AW45" s="2" t="s">
        <v>12</v>
      </c>
      <c r="AX45" t="e">
        <f t="shared" ref="AX45:BD45" si="29">AX34/(AX21*8.76)</f>
        <v>#VALUE!</v>
      </c>
      <c r="AY45" t="e">
        <f t="shared" si="29"/>
        <v>#VALUE!</v>
      </c>
      <c r="AZ45" s="6" t="e">
        <f t="shared" si="29"/>
        <v>#DIV/0!</v>
      </c>
      <c r="BA45" s="6">
        <f t="shared" si="29"/>
        <v>0.62965905631659058</v>
      </c>
      <c r="BB45" s="6">
        <f t="shared" si="29"/>
        <v>0.7738982288639823</v>
      </c>
      <c r="BC45" s="6" t="e">
        <f t="shared" si="29"/>
        <v>#DIV/0!</v>
      </c>
      <c r="BD45" s="6" t="e">
        <f t="shared" si="29"/>
        <v>#DIV/0!</v>
      </c>
      <c r="BE45" s="6"/>
      <c r="BF45" s="6"/>
      <c r="BG45" s="6"/>
      <c r="BH45" s="6"/>
      <c r="BI45" s="6"/>
      <c r="BJ45" s="6"/>
      <c r="BK45" s="6"/>
      <c r="BL45" s="1"/>
    </row>
    <row r="46" spans="1:64">
      <c r="A46" s="1"/>
      <c r="B46" s="2" t="s">
        <v>13</v>
      </c>
      <c r="C46" s="6">
        <f t="shared" ref="C46:I46" si="30">C35/(C22*8.76)</f>
        <v>1.1103698630136986E-2</v>
      </c>
      <c r="D46" t="e">
        <f t="shared" si="30"/>
        <v>#DIV/0!</v>
      </c>
      <c r="E46" s="6" t="e">
        <f t="shared" si="30"/>
        <v>#DIV/0!</v>
      </c>
      <c r="F46" s="6">
        <f t="shared" si="30"/>
        <v>0.60675256735159822</v>
      </c>
      <c r="G46" s="6">
        <f t="shared" si="30"/>
        <v>5.3502343987823435E-2</v>
      </c>
      <c r="H46" s="6">
        <f t="shared" si="30"/>
        <v>9.8939358664775698E-2</v>
      </c>
      <c r="I46" s="6">
        <f t="shared" si="30"/>
        <v>0.42858723711732966</v>
      </c>
      <c r="J46" s="6"/>
      <c r="K46" s="6"/>
      <c r="L46" s="6"/>
      <c r="M46" s="6"/>
      <c r="N46" s="6"/>
      <c r="O46" s="6"/>
      <c r="P46" s="1"/>
      <c r="Q46" s="2" t="s">
        <v>13</v>
      </c>
      <c r="R46" s="6">
        <f t="shared" ref="R46:X46" si="31">R35/(R22*8.76)</f>
        <v>1.1103698630136986E-2</v>
      </c>
      <c r="S46" t="e">
        <f t="shared" si="31"/>
        <v>#DIV/0!</v>
      </c>
      <c r="T46" s="6" t="e">
        <f t="shared" si="31"/>
        <v>#DIV/0!</v>
      </c>
      <c r="U46" s="6">
        <f t="shared" si="31"/>
        <v>0.60675256735159822</v>
      </c>
      <c r="V46" s="6">
        <f t="shared" si="31"/>
        <v>5.3502343987823435E-2</v>
      </c>
      <c r="W46" s="6">
        <f t="shared" si="31"/>
        <v>9.8939358664775698E-2</v>
      </c>
      <c r="X46" s="6">
        <f t="shared" si="31"/>
        <v>0.42858723711732966</v>
      </c>
      <c r="Y46" s="6"/>
      <c r="Z46" s="6"/>
      <c r="AA46" s="6"/>
      <c r="AB46" s="6"/>
      <c r="AC46" s="6"/>
      <c r="AD46" s="6"/>
      <c r="AE46" s="6"/>
      <c r="AF46" s="1"/>
      <c r="AG46" s="2" t="s">
        <v>13</v>
      </c>
      <c r="AH46" s="6">
        <f t="shared" ref="AH46:AN46" si="32">AH35/(AH22*8.76)</f>
        <v>9.3926027397260269E-3</v>
      </c>
      <c r="AI46" t="e">
        <f t="shared" si="32"/>
        <v>#DIV/0!</v>
      </c>
      <c r="AJ46" s="6" t="e">
        <f t="shared" si="32"/>
        <v>#DIV/0!</v>
      </c>
      <c r="AK46" s="6">
        <f t="shared" si="32"/>
        <v>0.60659459318589992</v>
      </c>
      <c r="AL46" s="6">
        <f t="shared" si="32"/>
        <v>4.2550631659056315E-2</v>
      </c>
      <c r="AM46" s="6">
        <f t="shared" si="32"/>
        <v>0.11793677942149294</v>
      </c>
      <c r="AN46" s="6">
        <f t="shared" si="32"/>
        <v>0.39631199816577223</v>
      </c>
      <c r="AO46" s="6"/>
      <c r="AP46" s="6"/>
      <c r="AQ46" s="6"/>
      <c r="AR46" s="6"/>
      <c r="AS46" s="6"/>
      <c r="AT46" s="6"/>
      <c r="AU46" s="6"/>
      <c r="AV46" s="1"/>
      <c r="AW46" s="2" t="s">
        <v>13</v>
      </c>
      <c r="AX46" s="6">
        <f t="shared" ref="AX46:BD46" si="33">AX35/(AX22*8.76)</f>
        <v>9.3926027397260269E-3</v>
      </c>
      <c r="AY46" t="e">
        <f t="shared" si="33"/>
        <v>#DIV/0!</v>
      </c>
      <c r="AZ46" s="6" t="e">
        <f t="shared" si="33"/>
        <v>#DIV/0!</v>
      </c>
      <c r="BA46" s="6">
        <f t="shared" si="33"/>
        <v>0.60659459318589992</v>
      </c>
      <c r="BB46" s="6">
        <f t="shared" si="33"/>
        <v>4.2550631659056315E-2</v>
      </c>
      <c r="BC46" s="6">
        <f t="shared" si="33"/>
        <v>0.11905468099112908</v>
      </c>
      <c r="BD46" s="6">
        <f t="shared" si="33"/>
        <v>0.39198085318872211</v>
      </c>
      <c r="BE46" s="6"/>
      <c r="BF46" s="6"/>
      <c r="BG46" s="6"/>
      <c r="BH46" s="6"/>
      <c r="BI46" s="6"/>
      <c r="BJ46" s="6"/>
      <c r="BK46" s="6"/>
      <c r="BL46" s="1"/>
    </row>
    <row r="47" spans="1:64">
      <c r="A47" s="1"/>
      <c r="B47" s="2" t="s">
        <v>14</v>
      </c>
      <c r="C47" s="6" t="e">
        <f t="shared" ref="C47:I47" si="34">C36/(C23*8.76)</f>
        <v>#VALUE!</v>
      </c>
      <c r="D47" t="e">
        <f t="shared" si="34"/>
        <v>#VALUE!</v>
      </c>
      <c r="E47" s="6" t="e">
        <f t="shared" si="34"/>
        <v>#DIV/0!</v>
      </c>
      <c r="F47" s="6">
        <f t="shared" si="34"/>
        <v>0.60387261808853754</v>
      </c>
      <c r="G47" s="6" t="e">
        <f t="shared" si="34"/>
        <v>#DIV/0!</v>
      </c>
      <c r="H47" s="6">
        <f t="shared" si="34"/>
        <v>7.5798441886954671E-2</v>
      </c>
      <c r="I47" s="6">
        <f t="shared" si="34"/>
        <v>0.24204050140505032</v>
      </c>
      <c r="J47" s="6"/>
      <c r="K47" s="6"/>
      <c r="L47" s="6"/>
      <c r="M47" s="6"/>
      <c r="N47" s="6"/>
      <c r="O47" s="6"/>
      <c r="P47" s="1"/>
      <c r="Q47" s="2" t="s">
        <v>14</v>
      </c>
      <c r="R47" s="6" t="e">
        <f t="shared" ref="R47:X47" si="35">R36/(R23*8.76)</f>
        <v>#VALUE!</v>
      </c>
      <c r="S47" t="e">
        <f t="shared" si="35"/>
        <v>#VALUE!</v>
      </c>
      <c r="T47" s="6" t="e">
        <f t="shared" si="35"/>
        <v>#DIV/0!</v>
      </c>
      <c r="U47" s="6">
        <f t="shared" si="35"/>
        <v>0.60387261808853754</v>
      </c>
      <c r="V47" s="6" t="e">
        <f t="shared" si="35"/>
        <v>#DIV/0!</v>
      </c>
      <c r="W47" s="6">
        <f t="shared" si="35"/>
        <v>7.5798441886954671E-2</v>
      </c>
      <c r="X47" s="6">
        <f t="shared" si="35"/>
        <v>0.24204050140505032</v>
      </c>
      <c r="Y47" s="6"/>
      <c r="Z47" s="6"/>
      <c r="AA47" s="6"/>
      <c r="AB47" s="6"/>
      <c r="AC47" s="6"/>
      <c r="AD47" s="6"/>
      <c r="AE47" s="6"/>
      <c r="AF47" s="1"/>
      <c r="AG47" s="2" t="s">
        <v>14</v>
      </c>
      <c r="AH47" s="6" t="e">
        <f t="shared" ref="AH47:AN47" si="36">AH36/(AH23*8.76)</f>
        <v>#VALUE!</v>
      </c>
      <c r="AI47" t="e">
        <f t="shared" si="36"/>
        <v>#VALUE!</v>
      </c>
      <c r="AJ47" s="6" t="e">
        <f t="shared" si="36"/>
        <v>#DIV/0!</v>
      </c>
      <c r="AK47" s="6">
        <f t="shared" si="36"/>
        <v>0.62423408556716342</v>
      </c>
      <c r="AL47" s="6" t="e">
        <f t="shared" si="36"/>
        <v>#DIV/0!</v>
      </c>
      <c r="AM47" s="6">
        <f t="shared" si="36"/>
        <v>0.12557964202903929</v>
      </c>
      <c r="AN47" s="6">
        <f t="shared" si="36"/>
        <v>0.35138198487784572</v>
      </c>
      <c r="AO47" s="6"/>
      <c r="AP47" s="6"/>
      <c r="AQ47" s="6"/>
      <c r="AR47" s="6"/>
      <c r="AS47" s="6"/>
      <c r="AT47" s="6"/>
      <c r="AU47" s="6"/>
      <c r="AV47" s="1"/>
      <c r="AW47" s="2" t="s">
        <v>14</v>
      </c>
      <c r="AX47" s="6" t="e">
        <f t="shared" ref="AX47:BD47" si="37">AX36/(AX23*8.76)</f>
        <v>#VALUE!</v>
      </c>
      <c r="AY47" t="e">
        <f t="shared" si="37"/>
        <v>#VALUE!</v>
      </c>
      <c r="AZ47" s="6" t="e">
        <f t="shared" si="37"/>
        <v>#DIV/0!</v>
      </c>
      <c r="BA47" s="6">
        <f t="shared" si="37"/>
        <v>0.62423408556716342</v>
      </c>
      <c r="BB47" s="6" t="e">
        <f t="shared" si="37"/>
        <v>#DIV/0!</v>
      </c>
      <c r="BC47" s="6">
        <f t="shared" si="37"/>
        <v>0.12622233399841298</v>
      </c>
      <c r="BD47" s="6">
        <f t="shared" si="37"/>
        <v>0.3507618398151453</v>
      </c>
      <c r="BE47" s="6"/>
      <c r="BF47" s="6"/>
      <c r="BG47" s="6"/>
      <c r="BH47" s="6"/>
      <c r="BI47" s="6"/>
      <c r="BJ47" s="6"/>
      <c r="BK47" s="6"/>
      <c r="BL47" s="1"/>
    </row>
    <row r="48" spans="1:64">
      <c r="A48" s="1"/>
      <c r="B48" s="2" t="s">
        <v>15</v>
      </c>
      <c r="C48" s="6" t="e">
        <f t="shared" ref="C48:I48" si="38">C37/(C24*8.76)</f>
        <v>#VALUE!</v>
      </c>
      <c r="D48" t="e">
        <f t="shared" si="38"/>
        <v>#VALUE!</v>
      </c>
      <c r="E48" s="6" t="e">
        <f t="shared" si="38"/>
        <v>#DIV/0!</v>
      </c>
      <c r="F48" s="6">
        <f t="shared" si="38"/>
        <v>0.60796880061776837</v>
      </c>
      <c r="G48" s="6" t="e">
        <f t="shared" si="38"/>
        <v>#VALUE!</v>
      </c>
      <c r="H48" s="6">
        <f t="shared" si="38"/>
        <v>2.57608560792662E-2</v>
      </c>
      <c r="I48" s="6">
        <f t="shared" si="38"/>
        <v>0.12282748801369862</v>
      </c>
      <c r="J48" s="6"/>
      <c r="K48" s="6"/>
      <c r="L48" s="6"/>
      <c r="M48" s="6"/>
      <c r="N48" s="6"/>
      <c r="O48" s="6"/>
      <c r="P48" s="1"/>
      <c r="Q48" s="2" t="s">
        <v>15</v>
      </c>
      <c r="R48" s="6" t="e">
        <f t="shared" ref="R48:X48" si="39">R37/(R24*8.76)</f>
        <v>#VALUE!</v>
      </c>
      <c r="S48" t="e">
        <f t="shared" si="39"/>
        <v>#VALUE!</v>
      </c>
      <c r="T48" s="6" t="e">
        <f t="shared" si="39"/>
        <v>#DIV/0!</v>
      </c>
      <c r="U48" s="6">
        <f t="shared" si="39"/>
        <v>0.608004486115298</v>
      </c>
      <c r="V48" s="6" t="e">
        <f t="shared" si="39"/>
        <v>#VALUE!</v>
      </c>
      <c r="W48" s="6">
        <f t="shared" si="39"/>
        <v>1.9988789919192489E-2</v>
      </c>
      <c r="X48" s="6">
        <f t="shared" si="39"/>
        <v>0.12699105707762559</v>
      </c>
      <c r="Y48" s="6"/>
      <c r="Z48" s="6"/>
      <c r="AA48" s="6"/>
      <c r="AB48" s="6"/>
      <c r="AC48" s="6"/>
      <c r="AD48" s="6"/>
      <c r="AE48" s="6"/>
      <c r="AF48" s="1"/>
      <c r="AG48" s="2" t="s">
        <v>15</v>
      </c>
      <c r="AH48" s="6" t="e">
        <f t="shared" ref="AH48:AN48" si="40">AH37/(AH24*8.76)</f>
        <v>#VALUE!</v>
      </c>
      <c r="AI48" t="e">
        <f t="shared" si="40"/>
        <v>#VALUE!</v>
      </c>
      <c r="AJ48" s="6" t="e">
        <f t="shared" si="40"/>
        <v>#DIV/0!</v>
      </c>
      <c r="AK48" s="6">
        <f t="shared" si="40"/>
        <v>0.60880610920852363</v>
      </c>
      <c r="AL48" s="6" t="e">
        <f t="shared" si="40"/>
        <v>#VALUE!</v>
      </c>
      <c r="AM48" s="6">
        <f t="shared" si="40"/>
        <v>0.1077911881714339</v>
      </c>
      <c r="AN48" s="6">
        <f t="shared" si="40"/>
        <v>0.33285801693617451</v>
      </c>
      <c r="AO48" s="6"/>
      <c r="AP48" s="6"/>
      <c r="AQ48" s="6"/>
      <c r="AR48" s="6"/>
      <c r="AS48" s="6"/>
      <c r="AT48" s="6"/>
      <c r="AU48" s="6"/>
      <c r="AV48" s="1"/>
      <c r="AW48" s="2" t="s">
        <v>15</v>
      </c>
      <c r="AX48" s="6" t="e">
        <f t="shared" ref="AX48:BD48" si="41">AX37/(AX24*8.76)</f>
        <v>#VALUE!</v>
      </c>
      <c r="AY48" t="e">
        <f t="shared" si="41"/>
        <v>#VALUE!</v>
      </c>
      <c r="AZ48" s="6" t="e">
        <f t="shared" si="41"/>
        <v>#DIV/0!</v>
      </c>
      <c r="BA48" s="6">
        <f t="shared" si="41"/>
        <v>0.60883935312024351</v>
      </c>
      <c r="BB48" s="6" t="e">
        <f t="shared" si="41"/>
        <v>#VALUE!</v>
      </c>
      <c r="BC48" s="6">
        <f t="shared" si="41"/>
        <v>0.11166320643167085</v>
      </c>
      <c r="BD48" s="6">
        <f t="shared" si="41"/>
        <v>0.35628432094948248</v>
      </c>
      <c r="BE48" s="6"/>
      <c r="BF48" s="6"/>
      <c r="BG48" s="6"/>
      <c r="BH48" s="6"/>
      <c r="BI48" s="6"/>
      <c r="BJ48" s="6"/>
      <c r="BK48" s="6"/>
      <c r="BL48" s="1"/>
    </row>
    <row r="49" spans="1:64">
      <c r="A49" s="1"/>
      <c r="B49" s="2" t="s">
        <v>16</v>
      </c>
      <c r="C49" s="6" t="e">
        <f t="shared" ref="C49:I49" si="42">C38/(C25*8.76)</f>
        <v>#VALUE!</v>
      </c>
      <c r="D49" t="e">
        <f t="shared" si="42"/>
        <v>#VALUE!</v>
      </c>
      <c r="E49" s="6" t="e">
        <f t="shared" si="42"/>
        <v>#DIV/0!</v>
      </c>
      <c r="F49" s="6">
        <f t="shared" si="42"/>
        <v>0.61091659056316583</v>
      </c>
      <c r="G49" s="6" t="e">
        <f t="shared" si="42"/>
        <v>#VALUE!</v>
      </c>
      <c r="H49" s="6">
        <f t="shared" si="42"/>
        <v>0.12166240699240606</v>
      </c>
      <c r="I49" s="6">
        <f t="shared" si="42"/>
        <v>0.42097121568944346</v>
      </c>
      <c r="J49" s="6"/>
      <c r="K49" s="6"/>
      <c r="L49" s="6"/>
      <c r="M49" s="6"/>
      <c r="N49" s="6"/>
      <c r="O49" s="6"/>
      <c r="P49" s="1"/>
      <c r="Q49" s="2" t="s">
        <v>16</v>
      </c>
      <c r="R49" s="6" t="e">
        <f t="shared" ref="R49:X49" si="43">R38/(R25*8.76)</f>
        <v>#VALUE!</v>
      </c>
      <c r="S49" t="e">
        <f t="shared" si="43"/>
        <v>#VALUE!</v>
      </c>
      <c r="T49" s="6" t="e">
        <f t="shared" si="43"/>
        <v>#DIV/0!</v>
      </c>
      <c r="U49" s="6">
        <f t="shared" si="43"/>
        <v>0.61091659056316583</v>
      </c>
      <c r="V49" s="6" t="e">
        <f t="shared" si="43"/>
        <v>#VALUE!</v>
      </c>
      <c r="W49" s="6">
        <f t="shared" si="43"/>
        <v>0.12166240699240606</v>
      </c>
      <c r="X49" s="6">
        <f t="shared" si="43"/>
        <v>0.42097121568944346</v>
      </c>
      <c r="Y49" s="6"/>
      <c r="Z49" s="6"/>
      <c r="AA49" s="6"/>
      <c r="AB49" s="6"/>
      <c r="AC49" s="6"/>
      <c r="AD49" s="6"/>
      <c r="AE49" s="6"/>
      <c r="AF49" s="1"/>
      <c r="AG49" s="2" t="s">
        <v>16</v>
      </c>
      <c r="AH49" s="6" t="e">
        <f t="shared" ref="AH49:AN49" si="44">AH38/(AH25*8.76)</f>
        <v>#VALUE!</v>
      </c>
      <c r="AI49" t="e">
        <f t="shared" si="44"/>
        <v>#VALUE!</v>
      </c>
      <c r="AJ49" s="6" t="e">
        <f t="shared" si="44"/>
        <v>#DIV/0!</v>
      </c>
      <c r="AK49" s="6">
        <f t="shared" si="44"/>
        <v>0.61091659056316583</v>
      </c>
      <c r="AL49" s="6" t="e">
        <f t="shared" si="44"/>
        <v>#VALUE!</v>
      </c>
      <c r="AM49" s="6">
        <f t="shared" si="44"/>
        <v>0.12602085887866632</v>
      </c>
      <c r="AN49" s="6">
        <f t="shared" si="44"/>
        <v>0.39635293225264329</v>
      </c>
      <c r="AO49" s="6"/>
      <c r="AP49" s="6"/>
      <c r="AQ49" s="6"/>
      <c r="AR49" s="6"/>
      <c r="AS49" s="6"/>
      <c r="AT49" s="6"/>
      <c r="AU49" s="6"/>
      <c r="AV49" s="1"/>
      <c r="AW49" s="2" t="s">
        <v>16</v>
      </c>
      <c r="AX49" s="6" t="e">
        <f t="shared" ref="AX49:BD49" si="45">AX38/(AX25*8.76)</f>
        <v>#VALUE!</v>
      </c>
      <c r="AY49" t="e">
        <f t="shared" si="45"/>
        <v>#VALUE!</v>
      </c>
      <c r="AZ49" s="6" t="e">
        <f t="shared" si="45"/>
        <v>#DIV/0!</v>
      </c>
      <c r="BA49" s="6">
        <f t="shared" si="45"/>
        <v>0.61091659056316583</v>
      </c>
      <c r="BB49" s="6" t="e">
        <f t="shared" si="45"/>
        <v>#VALUE!</v>
      </c>
      <c r="BC49" s="6">
        <f t="shared" si="45"/>
        <v>0.12580458781735218</v>
      </c>
      <c r="BD49" s="6">
        <f t="shared" si="45"/>
        <v>0.39757451790405174</v>
      </c>
      <c r="BE49" s="6"/>
      <c r="BF49" s="6"/>
      <c r="BG49" s="6"/>
      <c r="BH49" s="6"/>
      <c r="BI49" s="6"/>
      <c r="BJ49" s="6"/>
      <c r="BK49" s="6"/>
      <c r="BL49" s="1"/>
    </row>
    <row r="50" spans="1:64">
      <c r="A50" s="1"/>
      <c r="B50" s="2" t="s">
        <v>17</v>
      </c>
      <c r="C50" s="6">
        <f t="shared" ref="C50:I50" si="46">C39/(C26*8.76)</f>
        <v>1.705021176626299E-2</v>
      </c>
      <c r="D50" t="e">
        <f t="shared" si="46"/>
        <v>#VALUE!</v>
      </c>
      <c r="E50" s="6" t="e">
        <f t="shared" si="46"/>
        <v>#DIV/0!</v>
      </c>
      <c r="F50" s="6">
        <f t="shared" si="46"/>
        <v>0.61709984402340556</v>
      </c>
      <c r="G50" s="6" t="e">
        <f t="shared" si="46"/>
        <v>#VALUE!</v>
      </c>
      <c r="H50" s="6">
        <f t="shared" si="46"/>
        <v>9.6868438292115555E-2</v>
      </c>
      <c r="I50" s="6">
        <f t="shared" si="46"/>
        <v>0.28798877054794519</v>
      </c>
      <c r="J50" s="6"/>
      <c r="K50" s="6"/>
      <c r="L50" s="6"/>
      <c r="M50" s="6"/>
      <c r="N50" s="6"/>
      <c r="O50" s="6"/>
      <c r="P50" s="1"/>
      <c r="Q50" s="2" t="s">
        <v>17</v>
      </c>
      <c r="R50" s="6">
        <f t="shared" ref="R50:X50" si="47">R39/(R26*8.76)</f>
        <v>1.705021176626299E-2</v>
      </c>
      <c r="S50" t="e">
        <f t="shared" si="47"/>
        <v>#VALUE!</v>
      </c>
      <c r="T50" s="6" t="e">
        <f t="shared" si="47"/>
        <v>#DIV/0!</v>
      </c>
      <c r="U50" s="6">
        <f t="shared" si="47"/>
        <v>0.61709984402340556</v>
      </c>
      <c r="V50" s="6" t="e">
        <f t="shared" si="47"/>
        <v>#VALUE!</v>
      </c>
      <c r="W50" s="6">
        <f t="shared" si="47"/>
        <v>9.6868438292115555E-2</v>
      </c>
      <c r="X50" s="6">
        <f t="shared" si="47"/>
        <v>0.28798877054794519</v>
      </c>
      <c r="Y50" s="6"/>
      <c r="Z50" s="6"/>
      <c r="AA50" s="6"/>
      <c r="AB50" s="6"/>
      <c r="AC50" s="6"/>
      <c r="AD50" s="6"/>
      <c r="AE50" s="6"/>
      <c r="AF50" s="1"/>
      <c r="AG50" s="2" t="s">
        <v>17</v>
      </c>
      <c r="AH50" s="6">
        <f t="shared" ref="AH50:AN50" si="48">AH39/(AH26*8.76)</f>
        <v>2.0226272803476497E-2</v>
      </c>
      <c r="AI50" t="e">
        <f t="shared" si="48"/>
        <v>#VALUE!</v>
      </c>
      <c r="AJ50" s="6" t="e">
        <f t="shared" si="48"/>
        <v>#DIV/0!</v>
      </c>
      <c r="AK50" s="6">
        <f t="shared" si="48"/>
        <v>0.62464960527781654</v>
      </c>
      <c r="AL50" s="6" t="e">
        <f t="shared" si="48"/>
        <v>#VALUE!</v>
      </c>
      <c r="AM50" s="6">
        <f t="shared" si="48"/>
        <v>0.12019424966763907</v>
      </c>
      <c r="AN50" s="6">
        <f t="shared" si="48"/>
        <v>0.39900686438893945</v>
      </c>
      <c r="AO50" s="6"/>
      <c r="AP50" s="6"/>
      <c r="AQ50" s="6"/>
      <c r="AR50" s="6"/>
      <c r="AS50" s="6"/>
      <c r="AT50" s="6"/>
      <c r="AU50" s="6"/>
      <c r="AV50" s="1"/>
      <c r="AW50" s="2" t="s">
        <v>17</v>
      </c>
      <c r="AX50" s="6">
        <f t="shared" ref="AX50:BD50" si="49">AX39/(AX26*8.76)</f>
        <v>2.0226272803476497E-2</v>
      </c>
      <c r="AY50" t="e">
        <f t="shared" si="49"/>
        <v>#VALUE!</v>
      </c>
      <c r="AZ50" s="6" t="e">
        <f t="shared" si="49"/>
        <v>#DIV/0!</v>
      </c>
      <c r="BA50" s="6">
        <f t="shared" si="49"/>
        <v>0.62464960527781654</v>
      </c>
      <c r="BB50" s="6" t="e">
        <f t="shared" si="49"/>
        <v>#VALUE!</v>
      </c>
      <c r="BC50" s="6">
        <f t="shared" si="49"/>
        <v>0.12119195053920023</v>
      </c>
      <c r="BD50" s="6">
        <f t="shared" si="49"/>
        <v>0.39749888056522298</v>
      </c>
      <c r="BE50" s="6"/>
      <c r="BF50" s="6"/>
      <c r="BG50" s="6"/>
      <c r="BH50" s="6"/>
      <c r="BI50" s="6"/>
      <c r="BJ50" s="6"/>
      <c r="BK50" s="6"/>
      <c r="BL50" s="1"/>
    </row>
    <row r="51" spans="1:64">
      <c r="A51" s="1"/>
      <c r="B51" s="2" t="s">
        <v>18</v>
      </c>
      <c r="C51" t="e">
        <f t="shared" ref="C51:I51" si="50">C40/(C27*8.76)</f>
        <v>#VALUE!</v>
      </c>
      <c r="D51" t="e">
        <f t="shared" si="50"/>
        <v>#VALUE!</v>
      </c>
      <c r="E51" s="6" t="e">
        <f t="shared" si="50"/>
        <v>#DIV/0!</v>
      </c>
      <c r="F51" s="6">
        <f t="shared" si="50"/>
        <v>0.60925081425369265</v>
      </c>
      <c r="G51" s="6" t="e">
        <f t="shared" si="50"/>
        <v>#VALUE!</v>
      </c>
      <c r="H51" s="6">
        <f t="shared" si="50"/>
        <v>0.13142298325722984</v>
      </c>
      <c r="I51" s="6">
        <f t="shared" si="50"/>
        <v>0.36609480074719797</v>
      </c>
      <c r="J51" s="6"/>
      <c r="K51" s="6"/>
      <c r="L51" s="6"/>
      <c r="M51" s="6"/>
      <c r="N51" s="6"/>
      <c r="O51" s="6"/>
      <c r="P51" s="1"/>
      <c r="Q51" s="2" t="s">
        <v>18</v>
      </c>
      <c r="R51" t="e">
        <f t="shared" ref="R51:X51" si="51">R40/(R27*8.76)</f>
        <v>#VALUE!</v>
      </c>
      <c r="S51" t="e">
        <f t="shared" si="51"/>
        <v>#VALUE!</v>
      </c>
      <c r="T51" s="6" t="e">
        <f t="shared" si="51"/>
        <v>#DIV/0!</v>
      </c>
      <c r="U51" s="6">
        <f t="shared" si="51"/>
        <v>0.60925081425369265</v>
      </c>
      <c r="V51" s="6" t="e">
        <f t="shared" si="51"/>
        <v>#VALUE!</v>
      </c>
      <c r="W51" s="6">
        <f t="shared" si="51"/>
        <v>0.13142298325722984</v>
      </c>
      <c r="X51" s="6">
        <f t="shared" si="51"/>
        <v>0.36602194894146944</v>
      </c>
      <c r="Y51" s="6"/>
      <c r="Z51" s="6"/>
      <c r="AA51" s="6"/>
      <c r="AB51" s="6"/>
      <c r="AC51" s="6"/>
      <c r="AD51" s="6"/>
      <c r="AE51" s="6"/>
      <c r="AF51" s="1"/>
      <c r="AG51" s="2" t="s">
        <v>18</v>
      </c>
      <c r="AH51" t="e">
        <f t="shared" ref="AH51:AN51" si="52">AH40/(AH27*8.76)</f>
        <v>#VALUE!</v>
      </c>
      <c r="AI51" t="e">
        <f t="shared" si="52"/>
        <v>#VALUE!</v>
      </c>
      <c r="AJ51" s="6" t="e">
        <f t="shared" si="52"/>
        <v>#DIV/0!</v>
      </c>
      <c r="AK51" s="6">
        <f t="shared" si="52"/>
        <v>0.61167720955889293</v>
      </c>
      <c r="AL51" s="6" t="e">
        <f t="shared" si="52"/>
        <v>#VALUE!</v>
      </c>
      <c r="AM51" s="6">
        <f t="shared" si="52"/>
        <v>0.12076324200913242</v>
      </c>
      <c r="AN51" s="6">
        <f t="shared" si="52"/>
        <v>0.38665530303030299</v>
      </c>
      <c r="AO51" s="6"/>
      <c r="AP51" s="6"/>
      <c r="AQ51" s="6"/>
      <c r="AR51" s="6"/>
      <c r="AS51" s="6"/>
      <c r="AT51" s="6"/>
      <c r="AU51" s="6"/>
      <c r="AV51" s="1"/>
      <c r="AW51" s="2" t="s">
        <v>18</v>
      </c>
      <c r="AX51" t="e">
        <f t="shared" ref="AX51:BD51" si="53">AX40/(AX27*8.76)</f>
        <v>#VALUE!</v>
      </c>
      <c r="AY51" t="e">
        <f t="shared" si="53"/>
        <v>#VALUE!</v>
      </c>
      <c r="AZ51" s="6" t="e">
        <f t="shared" si="53"/>
        <v>#DIV/0!</v>
      </c>
      <c r="BA51" s="6">
        <f t="shared" si="53"/>
        <v>0.61244024669552555</v>
      </c>
      <c r="BB51" s="6" t="e">
        <f t="shared" si="53"/>
        <v>#VALUE!</v>
      </c>
      <c r="BC51" s="6">
        <f t="shared" si="53"/>
        <v>0.12248987823439879</v>
      </c>
      <c r="BD51" s="6">
        <f t="shared" si="53"/>
        <v>0.39088107098381064</v>
      </c>
      <c r="BE51" s="6"/>
      <c r="BF51" s="6"/>
      <c r="BG51" s="6"/>
      <c r="BH51" s="6"/>
      <c r="BI51" s="6"/>
      <c r="BJ51" s="6"/>
      <c r="BK51" s="6"/>
      <c r="BL51" s="1"/>
    </row>
    <row r="52" spans="1:64">
      <c r="A52" s="1"/>
      <c r="B52" s="2" t="s">
        <v>19</v>
      </c>
      <c r="C52" t="e">
        <f t="shared" ref="C52:I52" si="54">C41/(C28*8.76)</f>
        <v>#VALUE!</v>
      </c>
      <c r="D52" t="e">
        <f t="shared" si="54"/>
        <v>#VALUE!</v>
      </c>
      <c r="E52" s="6" t="e">
        <f t="shared" si="54"/>
        <v>#DIV/0!</v>
      </c>
      <c r="F52" s="6" t="e">
        <f t="shared" si="54"/>
        <v>#DIV/0!</v>
      </c>
      <c r="G52" s="6">
        <f t="shared" si="54"/>
        <v>2.8541595319634707E-2</v>
      </c>
      <c r="H52" s="6">
        <f t="shared" si="54"/>
        <v>4.7003048090039697E-2</v>
      </c>
      <c r="I52" s="6">
        <f t="shared" si="54"/>
        <v>0.13062734589041095</v>
      </c>
      <c r="J52" s="6"/>
      <c r="K52" s="6"/>
      <c r="L52" s="6"/>
      <c r="M52" s="6"/>
      <c r="N52" s="6"/>
      <c r="O52" s="6"/>
      <c r="P52" s="1"/>
      <c r="Q52" s="2" t="s">
        <v>19</v>
      </c>
      <c r="R52" t="e">
        <f t="shared" ref="R52:X52" si="55">R41/(R28*8.76)</f>
        <v>#VALUE!</v>
      </c>
      <c r="S52" t="e">
        <f t="shared" si="55"/>
        <v>#VALUE!</v>
      </c>
      <c r="T52" s="6" t="e">
        <f t="shared" si="55"/>
        <v>#DIV/0!</v>
      </c>
      <c r="U52" s="6" t="e">
        <f t="shared" si="55"/>
        <v>#DIV/0!</v>
      </c>
      <c r="V52" s="6">
        <f t="shared" si="55"/>
        <v>2.6539212328767124E-2</v>
      </c>
      <c r="W52" s="6">
        <f t="shared" si="55"/>
        <v>6.0773974176579017E-2</v>
      </c>
      <c r="X52" s="6">
        <f t="shared" si="55"/>
        <v>0.13158824771689498</v>
      </c>
      <c r="Y52" s="6"/>
      <c r="Z52" s="6"/>
      <c r="AA52" s="6"/>
      <c r="AB52" s="6"/>
      <c r="AC52" s="6"/>
      <c r="AD52" s="6"/>
      <c r="AE52" s="6"/>
      <c r="AF52" s="1"/>
      <c r="AG52" s="2" t="s">
        <v>19</v>
      </c>
      <c r="AH52" t="e">
        <f t="shared" ref="AH52:AN52" si="56">AH41/(AH28*8.76)</f>
        <v>#VALUE!</v>
      </c>
      <c r="AI52" t="e">
        <f t="shared" si="56"/>
        <v>#VALUE!</v>
      </c>
      <c r="AJ52" s="6" t="e">
        <f t="shared" si="56"/>
        <v>#DIV/0!</v>
      </c>
      <c r="AK52" s="6">
        <f t="shared" si="56"/>
        <v>0.61274040481104519</v>
      </c>
      <c r="AL52" s="6">
        <f t="shared" si="56"/>
        <v>6.3755679223744283E-2</v>
      </c>
      <c r="AM52" s="6">
        <f t="shared" si="56"/>
        <v>0.11906265319920831</v>
      </c>
      <c r="AN52" s="6" t="e">
        <f t="shared" si="56"/>
        <v>#DIV/0!</v>
      </c>
      <c r="AO52" s="6"/>
      <c r="AP52" s="6"/>
      <c r="AQ52" s="6"/>
      <c r="AR52" s="6"/>
      <c r="AS52" s="6"/>
      <c r="AT52" s="6"/>
      <c r="AU52" s="6"/>
      <c r="AV52" s="1"/>
      <c r="AW52" s="2" t="s">
        <v>19</v>
      </c>
      <c r="AX52" t="e">
        <f t="shared" ref="AX52:BD52" si="57">AX41/(AX28*8.76)</f>
        <v>#VALUE!</v>
      </c>
      <c r="AY52" t="e">
        <f t="shared" si="57"/>
        <v>#VALUE!</v>
      </c>
      <c r="AZ52" s="6" t="e">
        <f t="shared" si="57"/>
        <v>#DIV/0!</v>
      </c>
      <c r="BA52" s="6">
        <f t="shared" si="57"/>
        <v>0.6095709897993371</v>
      </c>
      <c r="BB52" s="6">
        <f t="shared" si="57"/>
        <v>6.1492779680365303E-2</v>
      </c>
      <c r="BC52" s="6">
        <f t="shared" si="57"/>
        <v>0.11025202942668695</v>
      </c>
      <c r="BD52" s="6" t="e">
        <f t="shared" si="57"/>
        <v>#DIV/0!</v>
      </c>
      <c r="BE52" s="6"/>
      <c r="BF52" s="6"/>
      <c r="BG52" s="6"/>
      <c r="BH52" s="6"/>
      <c r="BI52" s="6"/>
      <c r="BJ52" s="6"/>
      <c r="BK52" s="6"/>
      <c r="BL52" s="1"/>
    </row>
    <row r="53" spans="1:64">
      <c r="A53" s="1"/>
      <c r="P53" s="1"/>
      <c r="AF53" s="1"/>
      <c r="AV53" s="1"/>
      <c r="BL53" s="1"/>
    </row>
    <row r="54" spans="1:64">
      <c r="A54" s="1"/>
      <c r="D54" t="s">
        <v>37</v>
      </c>
      <c r="E54">
        <f>SUM(C32:I41)</f>
        <v>6799.8106100000005</v>
      </c>
      <c r="F54" s="4" t="s">
        <v>38</v>
      </c>
      <c r="P54" s="1"/>
      <c r="S54" t="s">
        <v>37</v>
      </c>
      <c r="T54">
        <f>SUM(R32:X41)</f>
        <v>6799.8106100000005</v>
      </c>
      <c r="U54" s="4" t="s">
        <v>38</v>
      </c>
      <c r="AF54" s="1"/>
      <c r="AI54" t="s">
        <v>37</v>
      </c>
      <c r="AJ54">
        <f>SUM(AH32:AN41)</f>
        <v>6799.8106090000001</v>
      </c>
      <c r="AK54" s="4" t="s">
        <v>38</v>
      </c>
      <c r="AV54" s="1"/>
      <c r="AY54" t="s">
        <v>37</v>
      </c>
      <c r="AZ54">
        <f>SUM(AX32:BD41)</f>
        <v>6799.8106120000011</v>
      </c>
      <c r="BA54" s="4" t="s">
        <v>38</v>
      </c>
      <c r="BL54" s="1"/>
    </row>
    <row r="55" spans="1:64">
      <c r="A55" s="1"/>
      <c r="D55" t="s">
        <v>39</v>
      </c>
      <c r="E55">
        <f>SUM(E32:E41)</f>
        <v>0</v>
      </c>
      <c r="F55" s="4" t="s">
        <v>38</v>
      </c>
      <c r="P55" s="1"/>
      <c r="S55" t="s">
        <v>39</v>
      </c>
      <c r="T55">
        <f>SUM(T32:T41)</f>
        <v>0</v>
      </c>
      <c r="U55" s="4" t="s">
        <v>38</v>
      </c>
      <c r="AF55" s="1"/>
      <c r="AI55" t="s">
        <v>39</v>
      </c>
      <c r="AJ55">
        <f>SUM(AJ32:AJ41)</f>
        <v>0</v>
      </c>
      <c r="AK55" s="4" t="s">
        <v>38</v>
      </c>
      <c r="AV55" s="1"/>
      <c r="AY55" t="s">
        <v>39</v>
      </c>
      <c r="AZ55">
        <f>SUM(AZ32:AZ41)</f>
        <v>0</v>
      </c>
      <c r="BA55" s="4" t="s">
        <v>38</v>
      </c>
      <c r="BL55" s="1"/>
    </row>
    <row r="56" spans="1:64">
      <c r="A56" s="1"/>
      <c r="D56" t="s">
        <v>40</v>
      </c>
      <c r="E56">
        <f>E55/E54</f>
        <v>0</v>
      </c>
      <c r="P56" s="1"/>
      <c r="S56" t="s">
        <v>40</v>
      </c>
      <c r="T56">
        <f>T55/T54</f>
        <v>0</v>
      </c>
      <c r="AF56" s="1"/>
      <c r="AI56" t="s">
        <v>40</v>
      </c>
      <c r="AJ56">
        <f>AJ55/AJ54</f>
        <v>0</v>
      </c>
      <c r="AV56" s="1"/>
      <c r="AY56" t="s">
        <v>40</v>
      </c>
      <c r="AZ56">
        <f>AZ55/AZ54</f>
        <v>0</v>
      </c>
      <c r="BL56" s="1"/>
    </row>
    <row r="57" spans="1:64">
      <c r="A57" s="1"/>
      <c r="D57" t="s">
        <v>41</v>
      </c>
      <c r="E57">
        <v>0.66</v>
      </c>
      <c r="F57" t="s">
        <v>42</v>
      </c>
      <c r="P57" s="1"/>
      <c r="S57" t="s">
        <v>41</v>
      </c>
      <c r="T57">
        <v>0.66</v>
      </c>
      <c r="U57" t="s">
        <v>42</v>
      </c>
      <c r="AF57" s="1"/>
      <c r="AI57" t="s">
        <v>41</v>
      </c>
      <c r="AJ57">
        <v>0.66</v>
      </c>
      <c r="AK57" t="s">
        <v>42</v>
      </c>
      <c r="AV57" s="1"/>
      <c r="AY57" t="s">
        <v>41</v>
      </c>
      <c r="AZ57">
        <v>0.66</v>
      </c>
      <c r="BA57" t="s">
        <v>42</v>
      </c>
      <c r="BL57" s="1"/>
    </row>
    <row r="58" spans="1:64">
      <c r="A58" s="1"/>
      <c r="D58" t="s">
        <v>43</v>
      </c>
      <c r="E58" s="7">
        <f>E55*E57</f>
        <v>0</v>
      </c>
      <c r="F58" t="s">
        <v>44</v>
      </c>
      <c r="P58" s="1"/>
      <c r="S58" t="s">
        <v>43</v>
      </c>
      <c r="T58" s="7">
        <f>T55*T57</f>
        <v>0</v>
      </c>
      <c r="U58" t="s">
        <v>44</v>
      </c>
      <c r="AF58" s="1"/>
      <c r="AI58" t="s">
        <v>43</v>
      </c>
      <c r="AJ58" s="7">
        <f>AJ55*AJ57</f>
        <v>0</v>
      </c>
      <c r="AK58" t="s">
        <v>44</v>
      </c>
      <c r="AV58" s="1"/>
      <c r="AY58" t="s">
        <v>43</v>
      </c>
      <c r="AZ58" s="7">
        <f>AZ55*AZ57</f>
        <v>0</v>
      </c>
      <c r="BA58" t="s">
        <v>44</v>
      </c>
      <c r="BL58" s="1"/>
    </row>
    <row r="59" spans="1:64">
      <c r="A59" s="1"/>
      <c r="D59" t="s">
        <v>45</v>
      </c>
      <c r="E59" s="5">
        <f>E58/E54</f>
        <v>0</v>
      </c>
      <c r="F59" t="s">
        <v>46</v>
      </c>
      <c r="P59" s="1"/>
      <c r="S59" t="s">
        <v>45</v>
      </c>
      <c r="T59" s="5">
        <f>T58/T54</f>
        <v>0</v>
      </c>
      <c r="U59" t="s">
        <v>46</v>
      </c>
      <c r="AF59" s="1"/>
      <c r="AI59" t="s">
        <v>45</v>
      </c>
      <c r="AJ59" s="5">
        <f>AJ58/AJ54</f>
        <v>0</v>
      </c>
      <c r="AK59" t="s">
        <v>46</v>
      </c>
      <c r="AV59" s="1"/>
      <c r="AY59" t="s">
        <v>45</v>
      </c>
      <c r="AZ59" s="5">
        <f>AZ58/AZ54</f>
        <v>0</v>
      </c>
      <c r="BA59" t="s">
        <v>46</v>
      </c>
      <c r="BL59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6A76-BA62-4AA4-A36D-E10F2C9154B0}">
  <sheetPr>
    <tabColor theme="2" tint="-0.499984740745262"/>
  </sheetPr>
  <dimension ref="A2:F46"/>
  <sheetViews>
    <sheetView topLeftCell="A18" workbookViewId="0">
      <selection activeCell="A19" sqref="A19:XFD19"/>
    </sheetView>
  </sheetViews>
  <sheetFormatPr defaultRowHeight="14.75"/>
  <cols>
    <col min="1" max="1" width="13.453125" customWidth="1"/>
    <col min="2" max="2" width="18.40625" customWidth="1"/>
    <col min="3" max="3" width="6.6796875" customWidth="1"/>
    <col min="4" max="4" width="29.86328125" customWidth="1"/>
    <col min="6" max="6" width="8.6796875" customWidth="1"/>
  </cols>
  <sheetData>
    <row r="2" spans="1:6">
      <c r="A2" t="s">
        <v>292</v>
      </c>
      <c r="B2" t="s">
        <v>293</v>
      </c>
      <c r="C2" s="42">
        <v>1.1000000000000001</v>
      </c>
      <c r="D2" t="str">
        <f>'1. LCOE summaries'!E3</f>
        <v>Base</v>
      </c>
      <c r="E2" s="70">
        <f>'1. LCOE summaries'!F3</f>
        <v>118.9</v>
      </c>
    </row>
    <row r="3" spans="1:6">
      <c r="C3" s="42">
        <v>1.2</v>
      </c>
      <c r="D3" t="str">
        <f>'1. LCOE summaries'!E4</f>
        <v>Half wind and solar max cap</v>
      </c>
      <c r="E3" s="70">
        <f>'1. LCOE summaries'!F4</f>
        <v>122</v>
      </c>
    </row>
    <row r="4" spans="1:6">
      <c r="C4" s="42">
        <v>1.3</v>
      </c>
      <c r="D4" t="str">
        <f>'1. LCOE summaries'!E5</f>
        <v>Higher fuel cost</v>
      </c>
      <c r="E4" s="70">
        <f>'1. LCOE summaries'!F5</f>
        <v>135.9</v>
      </c>
    </row>
    <row r="5" spans="1:6">
      <c r="C5" s="42">
        <v>1.4</v>
      </c>
      <c r="D5" t="str">
        <f>'1. LCOE summaries'!E6</f>
        <v>Quarter wind and solar max cap</v>
      </c>
      <c r="E5" s="70">
        <f>'1. LCOE summaries'!F6</f>
        <v>130</v>
      </c>
    </row>
    <row r="7" spans="1:6">
      <c r="A7" t="s">
        <v>294</v>
      </c>
      <c r="B7" t="s">
        <v>295</v>
      </c>
      <c r="C7">
        <v>2.1</v>
      </c>
      <c r="D7" t="str">
        <f>'2. LCOE summaries'!E3</f>
        <v>Baseline, 4-hr storage</v>
      </c>
      <c r="E7" s="70">
        <f>'2. LCOE summaries'!F3</f>
        <v>92.2</v>
      </c>
    </row>
    <row r="8" spans="1:6">
      <c r="C8">
        <v>2.2000000000000002</v>
      </c>
      <c r="D8" t="str">
        <f>'2. LCOE summaries'!E4</f>
        <v>Half wind and solar, 4-hr storage</v>
      </c>
      <c r="E8" s="70">
        <f>'2. LCOE summaries'!F4</f>
        <v>93.8</v>
      </c>
    </row>
    <row r="9" spans="1:6">
      <c r="C9">
        <v>2.2999999999999998</v>
      </c>
      <c r="D9" t="str">
        <f>'2. LCOE summaries'!E5</f>
        <v>Baseline, higher storage cost</v>
      </c>
      <c r="E9" s="70">
        <f>'2. LCOE summaries'!F5</f>
        <v>95.3</v>
      </c>
    </row>
    <row r="10" spans="1:6">
      <c r="C10">
        <v>2.4</v>
      </c>
      <c r="D10" t="str">
        <f>'2. LCOE summaries'!E6</f>
        <v>Baseline, 6-hr storage</v>
      </c>
      <c r="E10" s="70">
        <f>'2. LCOE summaries'!F6</f>
        <v>90.1</v>
      </c>
    </row>
    <row r="11" spans="1:6">
      <c r="C11">
        <v>2.5</v>
      </c>
      <c r="D11" t="str">
        <f>'2. LCOE summaries'!E7</f>
        <v>Half wind and solar, 2-hr storage</v>
      </c>
      <c r="E11" s="70">
        <f>'2. LCOE summaries'!F7</f>
        <v>98.9</v>
      </c>
    </row>
    <row r="12" spans="1:6">
      <c r="C12">
        <v>2.6</v>
      </c>
      <c r="D12" t="str">
        <f>'2. LCOE summaries'!E8</f>
        <v>Half wind and solar, 6-hr storage</v>
      </c>
      <c r="E12" s="70">
        <f>'2. LCOE summaries'!F8</f>
        <v>91.9</v>
      </c>
    </row>
    <row r="13" spans="1:6">
      <c r="C13">
        <v>2.7</v>
      </c>
      <c r="D13" t="str">
        <f>'2. LCOE summaries'!E9</f>
        <v>Half wind and solar, 8-hr storage</v>
      </c>
      <c r="E13" s="70">
        <f>'2. LCOE summaries'!F9</f>
        <v>91.8</v>
      </c>
    </row>
    <row r="14" spans="1:6">
      <c r="E14" s="70"/>
    </row>
    <row r="15" spans="1:6" ht="29.5">
      <c r="A15" t="s">
        <v>318</v>
      </c>
      <c r="B15" s="51" t="s">
        <v>319</v>
      </c>
      <c r="C15" s="71" t="s">
        <v>336</v>
      </c>
      <c r="D15" t="s">
        <v>333</v>
      </c>
      <c r="E15" s="70">
        <f>'2''. Storage - some with diesel'!AQ16</f>
        <v>109.98768521374311</v>
      </c>
      <c r="F15" s="51"/>
    </row>
    <row r="16" spans="1:6">
      <c r="B16" s="51"/>
      <c r="C16" s="71" t="s">
        <v>337</v>
      </c>
      <c r="D16" t="s">
        <v>335</v>
      </c>
      <c r="E16" s="70">
        <f>'2''. Storage - some with diesel'!BK16</f>
        <v>103.36194466048184</v>
      </c>
    </row>
    <row r="17" spans="1:5">
      <c r="B17" s="51"/>
      <c r="C17" s="74" t="s">
        <v>341</v>
      </c>
      <c r="D17" t="s">
        <v>334</v>
      </c>
      <c r="E17" s="70">
        <v>102</v>
      </c>
    </row>
    <row r="18" spans="1:5">
      <c r="B18" s="51"/>
      <c r="C18" s="74" t="s">
        <v>342</v>
      </c>
      <c r="D18" t="s">
        <v>338</v>
      </c>
      <c r="E18" s="70">
        <v>98</v>
      </c>
    </row>
    <row r="20" spans="1:5">
      <c r="A20" t="s">
        <v>296</v>
      </c>
      <c r="B20" t="s">
        <v>297</v>
      </c>
      <c r="C20">
        <v>3.1</v>
      </c>
      <c r="D20" t="s">
        <v>306</v>
      </c>
      <c r="E20" s="70">
        <f>'3.Battery + H2 summary of costs'!S4</f>
        <v>104.8</v>
      </c>
    </row>
    <row r="21" spans="1:5">
      <c r="C21">
        <v>3.2</v>
      </c>
      <c r="D21" t="s">
        <v>307</v>
      </c>
      <c r="E21" s="70">
        <f>'3.Battery + H2 summary of costs'!S5</f>
        <v>102.5</v>
      </c>
    </row>
    <row r="22" spans="1:5">
      <c r="C22">
        <v>3.3</v>
      </c>
      <c r="D22" t="s">
        <v>308</v>
      </c>
      <c r="E22" s="70">
        <f>'3.Battery + H2 summary of costs'!S6</f>
        <v>103.2</v>
      </c>
    </row>
    <row r="23" spans="1:5">
      <c r="C23">
        <v>3.4</v>
      </c>
      <c r="D23" t="s">
        <v>298</v>
      </c>
      <c r="E23" s="70">
        <f>'3.Battery + H2 summary of costs'!S7</f>
        <v>125.7</v>
      </c>
    </row>
    <row r="24" spans="1:5">
      <c r="E24" s="70"/>
    </row>
    <row r="25" spans="1:5" ht="29.5">
      <c r="A25" t="s">
        <v>299</v>
      </c>
      <c r="B25" t="s">
        <v>300</v>
      </c>
      <c r="C25">
        <v>4.0999999999999996</v>
      </c>
      <c r="D25" s="51" t="s">
        <v>320</v>
      </c>
      <c r="E25" s="9">
        <f>'4. Battery + Links, no diesel'!BW3</f>
        <v>110</v>
      </c>
    </row>
    <row r="26" spans="1:5">
      <c r="C26">
        <v>4.2</v>
      </c>
      <c r="D26" t="s">
        <v>325</v>
      </c>
      <c r="E26" s="9">
        <f>'4. Battery + Links, no diesel'!CO3</f>
        <v>97.9</v>
      </c>
    </row>
    <row r="27" spans="1:5">
      <c r="C27">
        <v>4.3</v>
      </c>
      <c r="D27" t="s">
        <v>326</v>
      </c>
      <c r="E27" s="9">
        <f>'4. Battery + Links, no diesel'!DF3</f>
        <v>100</v>
      </c>
    </row>
    <row r="28" spans="1:5">
      <c r="C28">
        <v>4.4000000000000004</v>
      </c>
      <c r="D28" t="s">
        <v>327</v>
      </c>
      <c r="E28" s="9">
        <f>'4. Battery + Links, no diesel'!DW3</f>
        <v>112.1</v>
      </c>
    </row>
    <row r="29" spans="1:5">
      <c r="C29">
        <v>4.5</v>
      </c>
      <c r="D29" t="s">
        <v>329</v>
      </c>
      <c r="E29" s="9">
        <f>'4. Battery + Links, no diesel'!G3</f>
        <v>96</v>
      </c>
    </row>
    <row r="30" spans="1:5">
      <c r="C30">
        <v>4.5999999999999996</v>
      </c>
      <c r="D30" t="s">
        <v>316</v>
      </c>
      <c r="E30" s="9">
        <f>'4. Battery + Links, no diesel'!X3</f>
        <v>97.7</v>
      </c>
    </row>
    <row r="31" spans="1:5">
      <c r="C31">
        <v>4.7</v>
      </c>
      <c r="D31" t="s">
        <v>328</v>
      </c>
      <c r="E31" s="9">
        <f>'4. Battery + Links, no diesel'!AO3</f>
        <v>100.7</v>
      </c>
    </row>
    <row r="32" spans="1:5" ht="29.5">
      <c r="C32">
        <v>4.8</v>
      </c>
      <c r="D32" s="51" t="s">
        <v>330</v>
      </c>
      <c r="E32" s="9">
        <f>'4. Battery + Links, no diesel'!BF3</f>
        <v>102.4</v>
      </c>
    </row>
    <row r="33" spans="1:6">
      <c r="A33" t="s">
        <v>312</v>
      </c>
      <c r="B33" t="s">
        <v>313</v>
      </c>
      <c r="D33" t="s">
        <v>314</v>
      </c>
      <c r="E33" s="9">
        <f>'4''. FewLinks, Battery'!AL3</f>
        <v>103</v>
      </c>
    </row>
    <row r="34" spans="1:6">
      <c r="D34" t="s">
        <v>315</v>
      </c>
      <c r="E34" s="9">
        <f>'4''. FewLinks, Battery'!G3</f>
        <v>100.7</v>
      </c>
    </row>
    <row r="35" spans="1:6">
      <c r="D35" t="s">
        <v>316</v>
      </c>
      <c r="E35" s="9">
        <f>'4''. FewLinks, Battery'!V3</f>
        <v>101.6</v>
      </c>
    </row>
    <row r="36" spans="1:6">
      <c r="D36" t="s">
        <v>317</v>
      </c>
      <c r="E36" s="9">
        <v>104</v>
      </c>
    </row>
    <row r="39" spans="1:6">
      <c r="D39" t="s">
        <v>339</v>
      </c>
      <c r="E39" s="7">
        <f>AVERAGE(E2:E13)</f>
        <v>105.52727272727272</v>
      </c>
      <c r="F39" t="s">
        <v>301</v>
      </c>
    </row>
    <row r="40" spans="1:6">
      <c r="E40" s="7">
        <f>_xlfn.STDEV.P(E2:E13)</f>
        <v>16.64441434612889</v>
      </c>
      <c r="F40" t="s">
        <v>302</v>
      </c>
    </row>
    <row r="42" spans="1:6">
      <c r="D42" t="s">
        <v>340</v>
      </c>
      <c r="E42" s="7">
        <f>AVERAGE(E17:E36)</f>
        <v>103.46111111111112</v>
      </c>
      <c r="F42" t="s">
        <v>301</v>
      </c>
    </row>
    <row r="43" spans="1:6">
      <c r="E43" s="7">
        <f>_xlfn.STDEV.P(E17:E36)</f>
        <v>6.6616763730134334</v>
      </c>
      <c r="F43" t="s">
        <v>302</v>
      </c>
    </row>
    <row r="46" spans="1:6">
      <c r="B46" t="s">
        <v>303</v>
      </c>
      <c r="D46" t="s">
        <v>100</v>
      </c>
      <c r="E46">
        <f>'0. Current system'!G3</f>
        <v>183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 capacities</vt:lpstr>
      <vt:lpstr>0. Current system</vt:lpstr>
      <vt:lpstr>1. Diesel, no storage</vt:lpstr>
      <vt:lpstr>1. LCOE summaries</vt:lpstr>
      <vt:lpstr>2. Diesel-battery-storage</vt:lpstr>
      <vt:lpstr>2. LCOE summaries</vt:lpstr>
      <vt:lpstr>2'. Storage - some with diesel</vt:lpstr>
      <vt:lpstr>3. Battery and H2, no diesel</vt:lpstr>
      <vt:lpstr>3.Battery + H2 summary of costs</vt:lpstr>
      <vt:lpstr>4. Battery + Links, no diesel</vt:lpstr>
      <vt:lpstr>4'. FewLinks, Battery</vt:lpstr>
      <vt:lpstr>Scenarios LCOE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Brecha</dc:creator>
  <cp:lastModifiedBy>Robert Brecha</cp:lastModifiedBy>
  <dcterms:created xsi:type="dcterms:W3CDTF">2025-01-22T20:33:15Z</dcterms:created>
  <dcterms:modified xsi:type="dcterms:W3CDTF">2026-01-07T14:42:00Z</dcterms:modified>
</cp:coreProperties>
</file>